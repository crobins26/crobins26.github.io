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🏥 Health Scoring" sheetId="1" state="visible" r:id="rId3"/>
    <sheet name="📋 QBR &amp; Account Planning" sheetId="2" state="visible" r:id="rId4"/>
    <sheet name="👥 Team Performance" sheetId="3" state="visible" r:id="rId5"/>
    <sheet name="⚠ Churn Risk &amp; EWS" sheetId="4" state="visible" r:id="rId6"/>
    <sheet name="🚀 Onboarding Track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<sst xmlns="http://schemas.openxmlformats.org/spreadsheetml/2006/main" count="984" uniqueCount="693">
  <si>
    <t xml:space="preserve">  CUSTOMER HEALTH SCORING DASHBOARD  ·  Director of Customer Success  ·  Cernice Robinson</t>
  </si>
  <si>
    <t xml:space="preserve">  Composite health model · Dual-lane risk detection · Updated monthly per QBR cycle</t>
  </si>
  <si>
    <t xml:space="preserve">  HEALTH SCORE LEGEND</t>
  </si>
  <si>
    <t xml:space="preserve">  RISK TIER DEFINITIONS</t>
  </si>
  <si>
    <t xml:space="preserve">  SIGNAL WEIGHTS (Composite Model)</t>
  </si>
  <si>
    <t xml:space="preserve">Score Range</t>
  </si>
  <si>
    <t xml:space="preserve">Rating</t>
  </si>
  <si>
    <t xml:space="preserve">Action</t>
  </si>
  <si>
    <t xml:space="preserve">Owner</t>
  </si>
  <si>
    <t xml:space="preserve">Tier</t>
  </si>
  <si>
    <t xml:space="preserve">Definition</t>
  </si>
  <si>
    <t xml:space="preserve">Frequency</t>
  </si>
  <si>
    <t xml:space="preserve">Flag Trigger</t>
  </si>
  <si>
    <t xml:space="preserve">Signal</t>
  </si>
  <si>
    <t xml:space="preserve">Weight</t>
  </si>
  <si>
    <t xml:space="preserve">Data Source</t>
  </si>
  <si>
    <t xml:space="preserve">Cadence</t>
  </si>
  <si>
    <t xml:space="preserve">Notes</t>
  </si>
  <si>
    <t xml:space="preserve">85 – 100</t>
  </si>
  <si>
    <t xml:space="preserve">🟢  Healthy</t>
  </si>
  <si>
    <t xml:space="preserve">Expand / Upsell</t>
  </si>
  <si>
    <t xml:space="preserve">CSM</t>
  </si>
  <si>
    <t xml:space="preserve">Enterprise</t>
  </si>
  <si>
    <t xml:space="preserve">$500K+ ARR</t>
  </si>
  <si>
    <t xml:space="preserve">Monthly QBR</t>
  </si>
  <si>
    <t xml:space="preserve">Any 2 signals drop</t>
  </si>
  <si>
    <t xml:space="preserve">Product Adoption / Usage</t>
  </si>
  <si>
    <t xml:space="preserve">30%</t>
  </si>
  <si>
    <t xml:space="preserve">Product Analytics</t>
  </si>
  <si>
    <t xml:space="preserve">Weekly</t>
  </si>
  <si>
    <t xml:space="preserve">DAU/MAU ratio</t>
  </si>
  <si>
    <t xml:space="preserve">70 – 84</t>
  </si>
  <si>
    <t xml:space="preserve">🟡  Monitor</t>
  </si>
  <si>
    <t xml:space="preserve">Proactive Check-In</t>
  </si>
  <si>
    <t xml:space="preserve">Mid-Market</t>
  </si>
  <si>
    <t xml:space="preserve">$100K–499K ARR</t>
  </si>
  <si>
    <t xml:space="preserve">Bi-monthly</t>
  </si>
  <si>
    <t xml:space="preserve">Score &lt; 70</t>
  </si>
  <si>
    <t xml:space="preserve">Support Health (CSAT/tickets)</t>
  </si>
  <si>
    <t xml:space="preserve">25%</t>
  </si>
  <si>
    <t xml:space="preserve">Helpdesk / CSAT</t>
  </si>
  <si>
    <t xml:space="preserve">Real-time</t>
  </si>
  <si>
    <t xml:space="preserve">Ticket vol + sentiment</t>
  </si>
  <si>
    <t xml:space="preserve">50 – 69</t>
  </si>
  <si>
    <t xml:space="preserve">🟠  At Risk</t>
  </si>
  <si>
    <t xml:space="preserve">Intervention Plan</t>
  </si>
  <si>
    <t xml:space="preserve">CS Director</t>
  </si>
  <si>
    <t xml:space="preserve">Growth</t>
  </si>
  <si>
    <t xml:space="preserve">$25K–99K ARR</t>
  </si>
  <si>
    <t xml:space="preserve">Quarterly</t>
  </si>
  <si>
    <t xml:space="preserve">Score &lt; 60</t>
  </si>
  <si>
    <t xml:space="preserve">Engagement (touchpoints)</t>
  </si>
  <si>
    <t xml:space="preserve">20%</t>
  </si>
  <si>
    <t xml:space="preserve">CRM / CS Platform</t>
  </si>
  <si>
    <t xml:space="preserve">Monthly</t>
  </si>
  <si>
    <t xml:space="preserve">Response time trends</t>
  </si>
  <si>
    <t xml:space="preserve">&lt; 50</t>
  </si>
  <si>
    <t xml:space="preserve">🔴  Critical</t>
  </si>
  <si>
    <t xml:space="preserve">Executive Escalation</t>
  </si>
  <si>
    <t xml:space="preserve">VP / C-Suite</t>
  </si>
  <si>
    <t xml:space="preserve">SMB</t>
  </si>
  <si>
    <t xml:space="preserve">&lt; $25K ARR</t>
  </si>
  <si>
    <t xml:space="preserve">Self-serve + alerts</t>
  </si>
  <si>
    <t xml:space="preserve">Score &lt; 50</t>
  </si>
  <si>
    <t xml:space="preserve">Financial Health (ARR, invoices)</t>
  </si>
  <si>
    <t xml:space="preserve">15%</t>
  </si>
  <si>
    <t xml:space="preserve">Billing System</t>
  </si>
  <si>
    <t xml:space="preserve">Payment timing</t>
  </si>
  <si>
    <t xml:space="preserve">Executive Relationship</t>
  </si>
  <si>
    <t xml:space="preserve">10%</t>
  </si>
  <si>
    <t xml:space="preserve">CSM Notes / QBR</t>
  </si>
  <si>
    <t xml:space="preserve">Sponsor access</t>
  </si>
  <si>
    <t xml:space="preserve">  ACCOUNT HEALTH SCORECARD  ·  Q1 2025  ·  200+ Enterprise Portfolio Sample</t>
  </si>
  <si>
    <t xml:space="preserve">Account Name</t>
  </si>
  <si>
    <t xml:space="preserve">CSM Owner</t>
  </si>
  <si>
    <t xml:space="preserve">ARR ($K)</t>
  </si>
  <si>
    <t xml:space="preserve">Adoption %</t>
  </si>
  <si>
    <t xml:space="preserve">CSAT</t>
  </si>
  <si>
    <t xml:space="preserve">Engagement</t>
  </si>
  <si>
    <t xml:space="preserve">Financial</t>
  </si>
  <si>
    <t xml:space="preserve">Exec Rel</t>
  </si>
  <si>
    <t xml:space="preserve">COMPOSITE SCORE</t>
  </si>
  <si>
    <t xml:space="preserve">Risk Rating</t>
  </si>
  <si>
    <t xml:space="preserve">Trend</t>
  </si>
  <si>
    <t xml:space="preserve">Last QBR</t>
  </si>
  <si>
    <t xml:space="preserve">Next Action</t>
  </si>
  <si>
    <t xml:space="preserve">Walmart</t>
  </si>
  <si>
    <t xml:space="preserve">Cernice R.</t>
  </si>
  <si>
    <t xml:space="preserve">↑ Improving</t>
  </si>
  <si>
    <t xml:space="preserve">Jan 15 2025</t>
  </si>
  <si>
    <t xml:space="preserve">Expansion proposal</t>
  </si>
  <si>
    <t xml:space="preserve">Kroger</t>
  </si>
  <si>
    <t xml:space="preserve">→ Stable</t>
  </si>
  <si>
    <t xml:space="preserve">Jan 22 2025</t>
  </si>
  <si>
    <t xml:space="preserve">QBR scheduled Feb</t>
  </si>
  <si>
    <t xml:space="preserve">Jewel-Osco</t>
  </si>
  <si>
    <t xml:space="preserve">Feb 01 2025</t>
  </si>
  <si>
    <t xml:space="preserve">Feature adoption push</t>
  </si>
  <si>
    <t xml:space="preserve">Meijer</t>
  </si>
  <si>
    <t xml:space="preserve">T. Williams</t>
  </si>
  <si>
    <t xml:space="preserve">↓ Declining</t>
  </si>
  <si>
    <t xml:space="preserve">Jan 08 2025</t>
  </si>
  <si>
    <t xml:space="preserve">⚠ Intervention plan</t>
  </si>
  <si>
    <t xml:space="preserve">Safeway</t>
  </si>
  <si>
    <t xml:space="preserve">Dec 12 2024</t>
  </si>
  <si>
    <t xml:space="preserve">🔴 Executive call req.</t>
  </si>
  <si>
    <t xml:space="preserve">Albertsons</t>
  </si>
  <si>
    <t xml:space="preserve">J. Patel</t>
  </si>
  <si>
    <t xml:space="preserve">Feb 05 2025</t>
  </si>
  <si>
    <t xml:space="preserve">Upsell conversation</t>
  </si>
  <si>
    <t xml:space="preserve">Fresh Market</t>
  </si>
  <si>
    <t xml:space="preserve">Jan 28 2025</t>
  </si>
  <si>
    <t xml:space="preserve">Renewal prep</t>
  </si>
  <si>
    <t xml:space="preserve">Sprouts</t>
  </si>
  <si>
    <t xml:space="preserve">Dec 20 2024</t>
  </si>
  <si>
    <t xml:space="preserve">⚠ At-risk recovery</t>
  </si>
  <si>
    <t xml:space="preserve">Aldi</t>
  </si>
  <si>
    <t xml:space="preserve">M. Chen</t>
  </si>
  <si>
    <t xml:space="preserve">Feb 10 2025</t>
  </si>
  <si>
    <t xml:space="preserve">Nurture / expand</t>
  </si>
  <si>
    <t xml:space="preserve">Trader Joes</t>
  </si>
  <si>
    <t xml:space="preserve">Nov 30 2024</t>
  </si>
  <si>
    <t xml:space="preserve">🔴 Churn risk — act now</t>
  </si>
  <si>
    <t xml:space="preserve">PORTFOLIO SUMMARY</t>
  </si>
  <si>
    <t xml:space="preserve">  QBR PREPARATION &amp; ACCOUNT PLANNING TEMPLATE  ·  Cernice Robinson, Director of Customer Success</t>
  </si>
  <si>
    <t xml:space="preserve">  Structured QBR framework · Executive engagement · Value demonstration · Forward roadmap</t>
  </si>
  <si>
    <t xml:space="preserve">  SECTION 1 — ACCOUNT OVERVIEW &amp; RELATIONSHIP STATUS</t>
  </si>
  <si>
    <t xml:space="preserve">Account</t>
  </si>
  <si>
    <t xml:space="preserve">Contract End</t>
  </si>
  <si>
    <t xml:space="preserve">Health Score</t>
  </si>
  <si>
    <t xml:space="preserve">Executive Sponsor</t>
  </si>
  <si>
    <t xml:space="preserve">QBR Date</t>
  </si>
  <si>
    <t xml:space="preserve">Format</t>
  </si>
  <si>
    <t xml:space="preserve">Attendees (Client)</t>
  </si>
  <si>
    <t xml:space="preserve">Attendees (Internal)</t>
  </si>
  <si>
    <t xml:space="preserve">Prep Status</t>
  </si>
  <si>
    <t xml:space="preserve">Priority</t>
  </si>
  <si>
    <t xml:space="preserve">Dec 2025</t>
  </si>
  <si>
    <t xml:space="preserve">Sarah Chen (EVP)</t>
  </si>
  <si>
    <t xml:space="preserve">Feb 15 2025</t>
  </si>
  <si>
    <t xml:space="preserve">In-Person</t>
  </si>
  <si>
    <t xml:space="preserve">EVP + VP Ops + Dir IT</t>
  </si>
  <si>
    <t xml:space="preserve">Cernice + VP CS + AE</t>
  </si>
  <si>
    <t xml:space="preserve">✅ Ready</t>
  </si>
  <si>
    <t xml:space="preserve">P1 - Critical</t>
  </si>
  <si>
    <t xml:space="preserve">Mar 2025</t>
  </si>
  <si>
    <t xml:space="preserve">Mike Torres (SVP)</t>
  </si>
  <si>
    <t xml:space="preserve">Feb 22 2025</t>
  </si>
  <si>
    <t xml:space="preserve">Hybrid</t>
  </si>
  <si>
    <t xml:space="preserve">SVP + Dir Procurement</t>
  </si>
  <si>
    <t xml:space="preserve">Cernice + AE</t>
  </si>
  <si>
    <t xml:space="preserve">🔄 In Progress</t>
  </si>
  <si>
    <t xml:space="preserve">Jun 2025</t>
  </si>
  <si>
    <t xml:space="preserve">Jim Rao (VP)</t>
  </si>
  <si>
    <t xml:space="preserve">Mar 05 2025</t>
  </si>
  <si>
    <t xml:space="preserve">Virtual</t>
  </si>
  <si>
    <t xml:space="preserve">VP + 2 Managers</t>
  </si>
  <si>
    <t xml:space="preserve">Cernice + CSM</t>
  </si>
  <si>
    <t xml:space="preserve">⚠ At Risk</t>
  </si>
  <si>
    <t xml:space="preserve">Sep 2025</t>
  </si>
  <si>
    <t xml:space="preserve">Dana Webb (Dir)</t>
  </si>
  <si>
    <t xml:space="preserve">Mar 12 2025</t>
  </si>
  <si>
    <t xml:space="preserve">Dir + Ops Lead</t>
  </si>
  <si>
    <t xml:space="preserve">Cernice + CSM + AE</t>
  </si>
  <si>
    <t xml:space="preserve">🔴 Not Started</t>
  </si>
  <si>
    <t xml:space="preserve">P2 - High</t>
  </si>
  <si>
    <t xml:space="preserve">Nov 2025</t>
  </si>
  <si>
    <t xml:space="preserve">Lisa Park (Mgr)</t>
  </si>
  <si>
    <t xml:space="preserve">Mar 20 2025</t>
  </si>
  <si>
    <t xml:space="preserve">Mgr + Analyst</t>
  </si>
  <si>
    <t xml:space="preserve">  SECTION 2 — STANDARD QBR AGENDA TEMPLATE  ·  90-Minute Executive Format</t>
  </si>
  <si>
    <t xml:space="preserve">#</t>
  </si>
  <si>
    <t xml:space="preserve">Agenda Item</t>
  </si>
  <si>
    <t xml:space="preserve">Duration</t>
  </si>
  <si>
    <t xml:space="preserve">Talking Points</t>
  </si>
  <si>
    <t xml:space="preserve">Success Metric</t>
  </si>
  <si>
    <t xml:space="preserve">Slide Ref</t>
  </si>
  <si>
    <t xml:space="preserve">Pre-Read?</t>
  </si>
  <si>
    <t xml:space="preserve">Client Action?</t>
  </si>
  <si>
    <t xml:space="preserve">Internal Note</t>
  </si>
  <si>
    <t xml:space="preserve">Status</t>
  </si>
  <si>
    <t xml:space="preserve">Time Block</t>
  </si>
  <si>
    <t xml:space="preserve">Executive Welcome &amp; Agenda Review</t>
  </si>
  <si>
    <t xml:space="preserve">Client Exec</t>
  </si>
  <si>
    <t xml:space="preserve">5 min</t>
  </si>
  <si>
    <t xml:space="preserve">Set tone, confirm agenda, intro attendees</t>
  </si>
  <si>
    <t xml:space="preserve">Engaged executives in room</t>
  </si>
  <si>
    <t xml:space="preserve">Slide 1</t>
  </si>
  <si>
    <t xml:space="preserve">No</t>
  </si>
  <si>
    <t xml:space="preserve">Let client open — positions them as host</t>
  </si>
  <si>
    <t xml:space="preserve">✅</t>
  </si>
  <si>
    <t xml:space="preserve">0:00–0:05</t>
  </si>
  <si>
    <t xml:space="preserve">Partnership Health Snapshot</t>
  </si>
  <si>
    <t xml:space="preserve">CSM / Director</t>
  </si>
  <si>
    <t xml:space="preserve">10 min</t>
  </si>
  <si>
    <t xml:space="preserve">Score, trend, NPS, key wins vs. last QBR</t>
  </si>
  <si>
    <t xml:space="preserve">Client validates scores</t>
  </si>
  <si>
    <t xml:space="preserve">Slides 2-4</t>
  </si>
  <si>
    <t xml:space="preserve">Yes</t>
  </si>
  <si>
    <t xml:space="preserve">Lead with wins before gaps</t>
  </si>
  <si>
    <t xml:space="preserve">0:05–0:15</t>
  </si>
  <si>
    <t xml:space="preserve">ROI &amp; Value Delivered</t>
  </si>
  <si>
    <t xml:space="preserve">15 min</t>
  </si>
  <si>
    <t xml:space="preserve">Quantified outcomes, cost savings, efficiency gains</t>
  </si>
  <si>
    <t xml:space="preserve">Client confirms 2+ specific outcomes</t>
  </si>
  <si>
    <t xml:space="preserve">Slides 5-8</t>
  </si>
  <si>
    <t xml:space="preserve">Use client's own data — more credible</t>
  </si>
  <si>
    <t xml:space="preserve">0:15–0:30</t>
  </si>
  <si>
    <t xml:space="preserve">Product Adoption Deep Dive</t>
  </si>
  <si>
    <t xml:space="preserve">Feature usage heatmap, underutilized capabilities</t>
  </si>
  <si>
    <t xml:space="preserve">Identify 1 adoption growth area</t>
  </si>
  <si>
    <t xml:space="preserve">Slides 9-11</t>
  </si>
  <si>
    <t xml:space="preserve">Frame gaps as opportunities, not failures</t>
  </si>
  <si>
    <t xml:space="preserve">🔄</t>
  </si>
  <si>
    <t xml:space="preserve">0:30–0:45</t>
  </si>
  <si>
    <t xml:space="preserve">Challenges &amp; Open Issues</t>
  </si>
  <si>
    <t xml:space="preserve">Both</t>
  </si>
  <si>
    <t xml:space="preserve">Address open tickets, escalations, concerns</t>
  </si>
  <si>
    <t xml:space="preserve">All open items have owner + date</t>
  </si>
  <si>
    <t xml:space="preserve">Slide 12</t>
  </si>
  <si>
    <t xml:space="preserve">Never surprise client — pre-discuss issues</t>
  </si>
  <si>
    <t xml:space="preserve">0:45–0:55</t>
  </si>
  <si>
    <t xml:space="preserve">Strategic Roadmap Preview</t>
  </si>
  <si>
    <t xml:space="preserve">Director</t>
  </si>
  <si>
    <t xml:space="preserve">Upcoming features, integrations, roadmap alignment</t>
  </si>
  <si>
    <t xml:space="preserve">Client sees clear future value</t>
  </si>
  <si>
    <t xml:space="preserve">Slides 13-15</t>
  </si>
  <si>
    <t xml:space="preserve">Tie roadmap to their stated business goals</t>
  </si>
  <si>
    <t xml:space="preserve">0:55–1:10</t>
  </si>
  <si>
    <t xml:space="preserve">Joint Success Plan — Next 90 Days</t>
  </si>
  <si>
    <t xml:space="preserve">3–5 mutual commitments, owners, due dates</t>
  </si>
  <si>
    <t xml:space="preserve">Written plan agreed by both parties</t>
  </si>
  <si>
    <t xml:space="preserve">Slide 16</t>
  </si>
  <si>
    <t xml:space="preserve">Document in Gainsight immediately after</t>
  </si>
  <si>
    <t xml:space="preserve">1:10–1:20</t>
  </si>
  <si>
    <t xml:space="preserve">Executive Ask / Expansion Discussion</t>
  </si>
  <si>
    <t xml:space="preserve">NPS survey, case study, referral, or upsell signal</t>
  </si>
  <si>
    <t xml:space="preserve">Clear next step identified</t>
  </si>
  <si>
    <t xml:space="preserve">Slide 17</t>
  </si>
  <si>
    <t xml:space="preserve">Only if health &gt; 75 — do NOT in red accounts</t>
  </si>
  <si>
    <t xml:space="preserve">1:20–1:25</t>
  </si>
  <si>
    <t xml:space="preserve">Wrap-Up &amp; Next QBR Date</t>
  </si>
  <si>
    <t xml:space="preserve">Confirm action items, owners, next meeting booked</t>
  </si>
  <si>
    <t xml:space="preserve">Meeting follow-up sent within 24hrs</t>
  </si>
  <si>
    <t xml:space="preserve">Slide 18</t>
  </si>
  <si>
    <t xml:space="preserve">Book on the spot before leaving the room</t>
  </si>
  <si>
    <t xml:space="preserve">1:25–1:30</t>
  </si>
  <si>
    <t xml:space="preserve">  SECTION 3 — JOINT SUCCESS PLAN  ·  Mutual Commitments &amp; 90-Day Roadmap</t>
  </si>
  <si>
    <t xml:space="preserve">Commitment</t>
  </si>
  <si>
    <t xml:space="preserve">Due Date</t>
  </si>
  <si>
    <t xml:space="preserve">Category</t>
  </si>
  <si>
    <t xml:space="preserve">Blocker?</t>
  </si>
  <si>
    <t xml:space="preserve">% Complete</t>
  </si>
  <si>
    <t xml:space="preserve">CS Notes</t>
  </si>
  <si>
    <t xml:space="preserve">Exec Visible?</t>
  </si>
  <si>
    <t xml:space="preserve">Risk if Missed</t>
  </si>
  <si>
    <t xml:space="preserve">Complete API integration for automated reorder</t>
  </si>
  <si>
    <t xml:space="preserve">Client: IT Dir</t>
  </si>
  <si>
    <t xml:space="preserve">Mar 01 2025</t>
  </si>
  <si>
    <t xml:space="preserve">Integration</t>
  </si>
  <si>
    <t xml:space="preserve">P1</t>
  </si>
  <si>
    <t xml:space="preserve">On track per last sync</t>
  </si>
  <si>
    <t xml:space="preserve">Delays expansion contract</t>
  </si>
  <si>
    <t xml:space="preserve">Deliver custom reporting dashboard (Phase 2)</t>
  </si>
  <si>
    <t xml:space="preserve">CSM: Cernice</t>
  </si>
  <si>
    <t xml:space="preserve">Mar 15 2025</t>
  </si>
  <si>
    <t xml:space="preserve">Product</t>
  </si>
  <si>
    <t xml:space="preserve">Waiting on product team ETA</t>
  </si>
  <si>
    <t xml:space="preserve">Client may escalate</t>
  </si>
  <si>
    <t xml:space="preserve">Onboard 3 new regional buyers to platform</t>
  </si>
  <si>
    <t xml:space="preserve">Client: Dir Proc</t>
  </si>
  <si>
    <t xml:space="preserve">Feb 28 2025</t>
  </si>
  <si>
    <t xml:space="preserve">Adoption</t>
  </si>
  <si>
    <t xml:space="preserve">P2</t>
  </si>
  <si>
    <t xml:space="preserve">✅ On Track</t>
  </si>
  <si>
    <t xml:space="preserve">2 of 3 onboarded</t>
  </si>
  <si>
    <t xml:space="preserve">Minor adoption gap</t>
  </si>
  <si>
    <t xml:space="preserve">Submit renewal paperwork for counter-signature</t>
  </si>
  <si>
    <t xml:space="preserve">AE: J. Smith</t>
  </si>
  <si>
    <t xml:space="preserve">Commercial</t>
  </si>
  <si>
    <t xml:space="preserve">Legal review in progress</t>
  </si>
  <si>
    <t xml:space="preserve">Revenue at risk</t>
  </si>
  <si>
    <t xml:space="preserve">Conduct executive stakeholder re-mapping session</t>
  </si>
  <si>
    <t xml:space="preserve">CSM: T. Williams</t>
  </si>
  <si>
    <t xml:space="preserve">Mar 10 2025</t>
  </si>
  <si>
    <t xml:space="preserve">Relationship</t>
  </si>
  <si>
    <t xml:space="preserve">Champion left — no replacement</t>
  </si>
  <si>
    <t xml:space="preserve">Account at churn risk</t>
  </si>
  <si>
    <t xml:space="preserve">Achieve 80%+ feature adoption across category mgmt team</t>
  </si>
  <si>
    <t xml:space="preserve">CSM: J. Patel</t>
  </si>
  <si>
    <t xml:space="preserve">Mar 31 2025</t>
  </si>
  <si>
    <t xml:space="preserve">Scheduled training session</t>
  </si>
  <si>
    <t xml:space="preserve">Low — account healthy</t>
  </si>
  <si>
    <t xml:space="preserve">  CSM TEAM PERFORMANCE SCORECARD  ·  Q1 2025  ·  Director: Cernice Robinson</t>
  </si>
  <si>
    <t xml:space="preserve">  Individual KPIs · Coaching status · Development plans · Team aggregate metrics</t>
  </si>
  <si>
    <t xml:space="preserve">  TEAM KPI TARGETS  ·  Q1 2025  ·  Set by: Cernice Robinson, Feb 2025</t>
  </si>
  <si>
    <t xml:space="preserve">KPI</t>
  </si>
  <si>
    <t xml:space="preserve">Target</t>
  </si>
  <si>
    <t xml:space="preserve">Measurement</t>
  </si>
  <si>
    <t xml:space="preserve">Green (Exceeds)</t>
  </si>
  <si>
    <t xml:space="preserve">Yellow (Meets)</t>
  </si>
  <si>
    <t xml:space="preserve">Red (Below)</t>
  </si>
  <si>
    <t xml:space="preserve">Net Revenue Retention (NRR)</t>
  </si>
  <si>
    <t xml:space="preserve">105%</t>
  </si>
  <si>
    <t xml:space="preserve">ARR end vs. start of quarter</t>
  </si>
  <si>
    <t xml:space="preserve">≥ 108%</t>
  </si>
  <si>
    <t xml:space="preserve">100–107%</t>
  </si>
  <si>
    <t xml:space="preserve">&lt; 100%</t>
  </si>
  <si>
    <t xml:space="preserve">Primary retention metric</t>
  </si>
  <si>
    <t xml:space="preserve">Gross Revenue Retention (GRR)</t>
  </si>
  <si>
    <t xml:space="preserve">95%</t>
  </si>
  <si>
    <t xml:space="preserve">Renewals ÷ total renewal opportunities</t>
  </si>
  <si>
    <t xml:space="preserve">≥ 97%</t>
  </si>
  <si>
    <t xml:space="preserve">93–96%</t>
  </si>
  <si>
    <t xml:space="preserve">&lt; 93%</t>
  </si>
  <si>
    <t xml:space="preserve">Churn signal — track weekly at-risk</t>
  </si>
  <si>
    <t xml:space="preserve">CSAT / Customer Satisfaction</t>
  </si>
  <si>
    <t xml:space="preserve">4.5/5</t>
  </si>
  <si>
    <t xml:space="preserve">Post-interaction CSAT survey</t>
  </si>
  <si>
    <t xml:space="preserve">≥ 4.7</t>
  </si>
  <si>
    <t xml:space="preserve">4.3–4.6</t>
  </si>
  <si>
    <t xml:space="preserve">&lt; 4.3</t>
  </si>
  <si>
    <t xml:space="preserve">Min 3 responses/month to be valid</t>
  </si>
  <si>
    <t xml:space="preserve">QBR Completion Rate</t>
  </si>
  <si>
    <t xml:space="preserve">90%</t>
  </si>
  <si>
    <t xml:space="preserve">QBRs held ÷ QBRs scheduled</t>
  </si>
  <si>
    <t xml:space="preserve">≥ 95%</t>
  </si>
  <si>
    <t xml:space="preserve">85–94%</t>
  </si>
  <si>
    <t xml:space="preserve">&lt; 85%</t>
  </si>
  <si>
    <t xml:space="preserve">Enterprise = mandatory; Growth = flexible</t>
  </si>
  <si>
    <t xml:space="preserve">Onboarding Time-to-Value (TTV)</t>
  </si>
  <si>
    <t xml:space="preserve">45 days</t>
  </si>
  <si>
    <t xml:space="preserve">Days from contract sign to first value</t>
  </si>
  <si>
    <t xml:space="preserve">Per account</t>
  </si>
  <si>
    <t xml:space="preserve">≤ 40d</t>
  </si>
  <si>
    <t xml:space="preserve">41–50d</t>
  </si>
  <si>
    <t xml:space="preserve">&gt; 50d</t>
  </si>
  <si>
    <t xml:space="preserve">Measured at defined value milestone</t>
  </si>
  <si>
    <t xml:space="preserve">Health Score Coverage</t>
  </si>
  <si>
    <t xml:space="preserve">Accounts with current health score</t>
  </si>
  <si>
    <t xml:space="preserve">88–94%</t>
  </si>
  <si>
    <t xml:space="preserve">&lt; 88%</t>
  </si>
  <si>
    <t xml:space="preserve">Score must be &lt; 30 days old</t>
  </si>
  <si>
    <t xml:space="preserve">  INDIVIDUAL CSM PERFORMANCE  ·  Q1 2025 YTD  ·  Actuals vs. Targets</t>
  </si>
  <si>
    <t xml:space="preserve">CSM Name</t>
  </si>
  <si>
    <t xml:space="preserve">Seniority</t>
  </si>
  <si>
    <t xml:space="preserve">Accounts</t>
  </si>
  <si>
    <t xml:space="preserve">NRR</t>
  </si>
  <si>
    <t xml:space="preserve">GRR</t>
  </si>
  <si>
    <t xml:space="preserve">QBR Rate</t>
  </si>
  <si>
    <t xml:space="preserve">TTV (days)</t>
  </si>
  <si>
    <t xml:space="preserve">Health Cov.</t>
  </si>
  <si>
    <t xml:space="preserve">Composite Score</t>
  </si>
  <si>
    <t xml:space="preserve">Coaching Focus</t>
  </si>
  <si>
    <t xml:space="preserve">Next 1:1</t>
  </si>
  <si>
    <t xml:space="preserve">Cernice Robinson</t>
  </si>
  <si>
    <t xml:space="preserve">↑</t>
  </si>
  <si>
    <t xml:space="preserve">Player-coach / Strategic accounts</t>
  </si>
  <si>
    <t xml:space="preserve">N/A - Director</t>
  </si>
  <si>
    <t xml:space="preserve">Senior CSM</t>
  </si>
  <si>
    <t xml:space="preserve">→</t>
  </si>
  <si>
    <t xml:space="preserve">QBR quality &amp; exec relationships</t>
  </si>
  <si>
    <t xml:space="preserve">Feb 18 2025</t>
  </si>
  <si>
    <t xml:space="preserve">CSM II</t>
  </si>
  <si>
    <t xml:space="preserve">Expansion identification</t>
  </si>
  <si>
    <t xml:space="preserve">Feb 20 2025</t>
  </si>
  <si>
    <t xml:space="preserve">CSM I</t>
  </si>
  <si>
    <t xml:space="preserve">↓</t>
  </si>
  <si>
    <t xml:space="preserve">TTV reduction &amp; health coverage</t>
  </si>
  <si>
    <t xml:space="preserve">Feb 19 2025</t>
  </si>
  <si>
    <t xml:space="preserve">A. Rodriguez</t>
  </si>
  <si>
    <t xml:space="preserve">Associate CSM</t>
  </si>
  <si>
    <t xml:space="preserve">Core CSM skills — PIP candidate</t>
  </si>
  <si>
    <t xml:space="preserve">Feb 17 2025 ⚠</t>
  </si>
  <si>
    <t xml:space="preserve">TEAM TOTAL / AVG</t>
  </si>
  <si>
    <t xml:space="preserve">  COACHING &amp; DEVELOPMENT LOG  ·  Director: Cernice Robinson</t>
  </si>
  <si>
    <t xml:space="preserve">Date</t>
  </si>
  <si>
    <t xml:space="preserve">Type</t>
  </si>
  <si>
    <t xml:space="preserve">Topic</t>
  </si>
  <si>
    <t xml:space="preserve">Key Observations</t>
  </si>
  <si>
    <t xml:space="preserve">Action Items</t>
  </si>
  <si>
    <t xml:space="preserve">Follow-Up Date</t>
  </si>
  <si>
    <t xml:space="preserve">Outcome</t>
  </si>
  <si>
    <t xml:space="preserve">Growth Area</t>
  </si>
  <si>
    <t xml:space="preserve">Feb 12 2025</t>
  </si>
  <si>
    <t xml:space="preserve">1:1</t>
  </si>
  <si>
    <t xml:space="preserve">Exec Relationship — Meijer</t>
  </si>
  <si>
    <t xml:space="preserve">Executive champion left, no successor mapped</t>
  </si>
  <si>
    <t xml:space="preserve">1) Map org chart 2) Request intro from AE 3) Draft re-engagement email</t>
  </si>
  <si>
    <t xml:space="preserve">Feb 26 2025</t>
  </si>
  <si>
    <t xml:space="preserve">Pending</t>
  </si>
  <si>
    <t xml:space="preserve">Executive relationships</t>
  </si>
  <si>
    <t xml:space="preserve">Skills Dev</t>
  </si>
  <si>
    <t xml:space="preserve">Time-to-Value process</t>
  </si>
  <si>
    <t xml:space="preserve">3 accounts past 50-day TTV — process unclear</t>
  </si>
  <si>
    <t xml:space="preserve">Shadow J. Patel's onboarding call; update TTV tracker daily</t>
  </si>
  <si>
    <t xml:space="preserve">Feb 17 2025</t>
  </si>
  <si>
    <t xml:space="preserve">Mar 03 2025</t>
  </si>
  <si>
    <t xml:space="preserve">In Progress</t>
  </si>
  <si>
    <t xml:space="preserve">Onboarding execution</t>
  </si>
  <si>
    <t xml:space="preserve">Feb 08 2025</t>
  </si>
  <si>
    <t xml:space="preserve">PIP Check-in</t>
  </si>
  <si>
    <t xml:space="preserve">Core CSM fundamentals</t>
  </si>
  <si>
    <t xml:space="preserve">Low QBR rate, health scores outdated, CSAT below target</t>
  </si>
  <si>
    <t xml:space="preserve">Weekly check-in; 3 QBRs booked by Feb 28; all scores updated</t>
  </si>
  <si>
    <t xml:space="preserve">Mar 07 2025</t>
  </si>
  <si>
    <t xml:space="preserve">Active</t>
  </si>
  <si>
    <t xml:space="preserve">Full performance improvement</t>
  </si>
  <si>
    <t xml:space="preserve">Feb 14 2025</t>
  </si>
  <si>
    <t xml:space="preserve">Growth Dev</t>
  </si>
  <si>
    <t xml:space="preserve">Strong health scores but 0 expansion convos in Q4 2024</t>
  </si>
  <si>
    <t xml:space="preserve">Add expansion play to every QBR; find 1 upsell signal per account</t>
  </si>
  <si>
    <t xml:space="preserve">Commercial acumen</t>
  </si>
  <si>
    <t xml:space="preserve">  CHURN RISK &amp; EARLY WARNING SYSTEM  ·  Dual-Lane Detection Model  ·  Cernice Robinson</t>
  </si>
  <si>
    <t xml:space="preserve">  Vocal detractors: 24–48hr rapid response  ·  Silent disengagement: behavioral composite detection  ·  60-day advance warning target</t>
  </si>
  <si>
    <t xml:space="preserve">  DUAL-LANE RISK DETECTION FRAMEWORK  ·  Signal Weights &amp; Response Protocols</t>
  </si>
  <si>
    <t xml:space="preserve">  LANE 1 — VOCAL DISSATISFACTION SIGNALS  ·  Triggered: Within 24–48 hours</t>
  </si>
  <si>
    <t xml:space="preserve">Source</t>
  </si>
  <si>
    <t xml:space="preserve">Threshold (Trigger)</t>
  </si>
  <si>
    <t xml:space="preserve">Detection Method</t>
  </si>
  <si>
    <t xml:space="preserve">Response Owner</t>
  </si>
  <si>
    <t xml:space="preserve">Response SLA</t>
  </si>
  <si>
    <t xml:space="preserve">NPS Detractor Score (0–6)</t>
  </si>
  <si>
    <t xml:space="preserve">NPS Survey</t>
  </si>
  <si>
    <t xml:space="preserve">35%</t>
  </si>
  <si>
    <t xml:space="preserve">Any score ≤ 6</t>
  </si>
  <si>
    <t xml:space="preserve">Auto-alert via Gainsight</t>
  </si>
  <si>
    <t xml:space="preserve">CSM + Director</t>
  </si>
  <si>
    <t xml:space="preserve">24 hours</t>
  </si>
  <si>
    <t xml:space="preserve">Negative CSAT Survey Response</t>
  </si>
  <si>
    <t xml:space="preserve">Support/CS Tool</t>
  </si>
  <si>
    <t xml:space="preserve">Score &lt; 3.5 / 5</t>
  </si>
  <si>
    <t xml:space="preserve">Real-time webhook → Slack alert</t>
  </si>
  <si>
    <t xml:space="preserve">4 hours</t>
  </si>
  <si>
    <t xml:space="preserve">Escalation Submitted</t>
  </si>
  <si>
    <t xml:space="preserve">Support Tickets</t>
  </si>
  <si>
    <t xml:space="preserve">Priority = P1 or P2</t>
  </si>
  <si>
    <t xml:space="preserve">Ticket tag triggers CS workflow</t>
  </si>
  <si>
    <t xml:space="preserve">2 hours</t>
  </si>
  <si>
    <t xml:space="preserve">Executive Complaint (email/call)</t>
  </si>
  <si>
    <t xml:space="preserve">CRM / Direct</t>
  </si>
  <si>
    <t xml:space="preserve">Any executive complaint</t>
  </si>
  <si>
    <t xml:space="preserve">CSM manual flag in CRM</t>
  </si>
  <si>
    <t xml:space="preserve">Same day</t>
  </si>
  <si>
    <t xml:space="preserve">Cancellation Signal / Intent</t>
  </si>
  <si>
    <t xml:space="preserve">CRM / Contract</t>
  </si>
  <si>
    <t xml:space="preserve">5%</t>
  </si>
  <si>
    <t xml:space="preserve">Renewal = 'At Risk'</t>
  </si>
  <si>
    <t xml:space="preserve">Opp stage change → alert</t>
  </si>
  <si>
    <t xml:space="preserve">Director + AE</t>
  </si>
  <si>
    <t xml:space="preserve">  LANE 2 — SILENT DISENGAGEMENT SIGNALS  ·  Triggered: Composite ≥ 2 signals</t>
  </si>
  <si>
    <t xml:space="preserve">Behavioral Signal</t>
  </si>
  <si>
    <t xml:space="preserve">Lookback Window</t>
  </si>
  <si>
    <t xml:space="preserve">Product Usage Decline</t>
  </si>
  <si>
    <t xml:space="preserve">≥ 20% drop week-over-week</t>
  </si>
  <si>
    <t xml:space="preserve">30 days</t>
  </si>
  <si>
    <t xml:space="preserve">Automated weekly report</t>
  </si>
  <si>
    <t xml:space="preserve">72 hours</t>
  </si>
  <si>
    <t xml:space="preserve">Reduced Stakeholder Touchpoints</t>
  </si>
  <si>
    <t xml:space="preserve">CRM / Calendar</t>
  </si>
  <si>
    <t xml:space="preserve">&lt; 50% of normal contact freq</t>
  </si>
  <si>
    <t xml:space="preserve">60 days</t>
  </si>
  <si>
    <t xml:space="preserve">CRM engagement score calc</t>
  </si>
  <si>
    <t xml:space="preserve">5 business days</t>
  </si>
  <si>
    <t xml:space="preserve">Slower Email Response Time</t>
  </si>
  <si>
    <t xml:space="preserve">Email / CRM</t>
  </si>
  <si>
    <t xml:space="preserve">Response time &gt; 2x baseline</t>
  </si>
  <si>
    <t xml:space="preserve">CRM tracked email analytics</t>
  </si>
  <si>
    <t xml:space="preserve">Feature Adoption Plateau</t>
  </si>
  <si>
    <t xml:space="preserve">0% new feature adoption</t>
  </si>
  <si>
    <t xml:space="preserve">Adoption score stagnation alert</t>
  </si>
  <si>
    <t xml:space="preserve">1 week</t>
  </si>
  <si>
    <t xml:space="preserve">Reduced Champion Access</t>
  </si>
  <si>
    <t xml:space="preserve">CSM Notes / CRM</t>
  </si>
  <si>
    <t xml:space="preserve">Escalation to mgmt blocked</t>
  </si>
  <si>
    <t xml:space="preserve">Manual CSM flag</t>
  </si>
  <si>
    <t xml:space="preserve">  ACTIVE CHURN RISK REGISTER  ·  Updated Weekly  ·  All at-risk accounts require Director review</t>
  </si>
  <si>
    <t xml:space="preserve">Renewal Date</t>
  </si>
  <si>
    <t xml:space="preserve">Risk Lane</t>
  </si>
  <si>
    <t xml:space="preserve">Risk Score</t>
  </si>
  <si>
    <t xml:space="preserve">Vocal Signals</t>
  </si>
  <si>
    <t xml:space="preserve">Silent Signals</t>
  </si>
  <si>
    <t xml:space="preserve">Days to Renewal</t>
  </si>
  <si>
    <t xml:space="preserve">Intervention Owner</t>
  </si>
  <si>
    <t xml:space="preserve">Executive Engaged?</t>
  </si>
  <si>
    <t xml:space="preserve">Est. Save Prob.</t>
  </si>
  <si>
    <t xml:space="preserve">ARR at Risk ($K)</t>
  </si>
  <si>
    <t xml:space="preserve">Sep 30 2025</t>
  </si>
  <si>
    <t xml:space="preserve">Lane 1 — Vocal</t>
  </si>
  <si>
    <t xml:space="preserve">NPS=4, Escalation open</t>
  </si>
  <si>
    <t xml:space="preserve">Usage -31%, reduced touchpoints</t>
  </si>
  <si>
    <t xml:space="preserve">Executive re-engagement + dedicated success plan</t>
  </si>
  <si>
    <t xml:space="preserve">60%</t>
  </si>
  <si>
    <t xml:space="preserve">🔴 Critical — Active</t>
  </si>
  <si>
    <t xml:space="preserve">Jun 15 2025</t>
  </si>
  <si>
    <t xml:space="preserve">Lane 1 + 2 — Both</t>
  </si>
  <si>
    <t xml:space="preserve">Exec complaint filed</t>
  </si>
  <si>
    <t xml:space="preserve">Champion departed, access reduced</t>
  </si>
  <si>
    <t xml:space="preserve">Org re-mapping + exec intro via AE sponsor</t>
  </si>
  <si>
    <t xml:space="preserve">Scheduled</t>
  </si>
  <si>
    <t xml:space="preserve">45%</t>
  </si>
  <si>
    <t xml:space="preserve">🔴 Critical — Escalated</t>
  </si>
  <si>
    <t xml:space="preserve">Apr 01 2025</t>
  </si>
  <si>
    <t xml:space="preserve">Lane 2 — Silent</t>
  </si>
  <si>
    <t xml:space="preserve">None</t>
  </si>
  <si>
    <t xml:space="preserve">Usage -45%, 0 response to emails</t>
  </si>
  <si>
    <t xml:space="preserve">Win-back call + value re-demonstration</t>
  </si>
  <si>
    <t xml:space="preserve">🔴 Critical — 57 days</t>
  </si>
  <si>
    <t xml:space="preserve">Aug 20 2025</t>
  </si>
  <si>
    <t xml:space="preserve">Low CSAT (3.2)</t>
  </si>
  <si>
    <t xml:space="preserve">Feature plateau, slow responses</t>
  </si>
  <si>
    <t xml:space="preserve">Adoption recovery plan + exec QBR schedule</t>
  </si>
  <si>
    <t xml:space="preserve">55%</t>
  </si>
  <si>
    <t xml:space="preserve">🟠 At Risk — Monitoring</t>
  </si>
  <si>
    <t xml:space="preserve">Meijer Reg.</t>
  </si>
  <si>
    <t xml:space="preserve">Jul 30 2025</t>
  </si>
  <si>
    <t xml:space="preserve">Usage -22%, touchpoints -40%</t>
  </si>
  <si>
    <t xml:space="preserve">Proactive value review + champion mapping</t>
  </si>
  <si>
    <t xml:space="preserve">65%</t>
  </si>
  <si>
    <t xml:space="preserve">TOTAL ARR AT RISK</t>
  </si>
  <si>
    <t xml:space="preserve">← Projected ARR loss if no intervention</t>
  </si>
  <si>
    <t xml:space="preserve">  INTERVENTION PLAYBOOKS  ·  Director-Level Protocols by Risk Severity</t>
  </si>
  <si>
    <t xml:space="preserve">Risk Level</t>
  </si>
  <si>
    <t xml:space="preserve">Trigger</t>
  </si>
  <si>
    <t xml:space="preserve">Day 1 Action</t>
  </si>
  <si>
    <t xml:space="preserve">Day 3 Action</t>
  </si>
  <si>
    <t xml:space="preserve">Day 7 Action</t>
  </si>
  <si>
    <t xml:space="preserve">Day 14 Action</t>
  </si>
  <si>
    <t xml:space="preserve">Day 30 Action</t>
  </si>
  <si>
    <t xml:space="preserve">Executive Loop?</t>
  </si>
  <si>
    <t xml:space="preserve">Escalation Path</t>
  </si>
  <si>
    <t xml:space="preserve">🔴 Critical (&lt; 50)</t>
  </si>
  <si>
    <t xml:space="preserve">Any P1 signal OR composite &lt; 50</t>
  </si>
  <si>
    <t xml:space="preserve">CSM calls within 2 hrs; Director notified</t>
  </si>
  <si>
    <t xml:space="preserve">Director joins CSM on account call</t>
  </si>
  <si>
    <t xml:space="preserve">Internal war room: CSM + Director + AE + PM</t>
  </si>
  <si>
    <t xml:space="preserve">Executive sponsor engaged; recovery plan delivered</t>
  </si>
  <si>
    <t xml:space="preserve">30-day health check; renewal risk assessed</t>
  </si>
  <si>
    <t xml:space="preserve">Yes — mandatory</t>
  </si>
  <si>
    <t xml:space="preserve">Director → VP CS → CRO if unresolved</t>
  </si>
  <si>
    <t xml:space="preserve">Health score ≥ 60 within 60 days</t>
  </si>
  <si>
    <t xml:space="preserve">🟠 At Risk (50–69)</t>
  </si>
  <si>
    <t xml:space="preserve">Composite signal ≥ 2 OR score 50–69</t>
  </si>
  <si>
    <t xml:space="preserve">CSM proactive value call scheduled</t>
  </si>
  <si>
    <t xml:space="preserve">Personalized success plan delivered</t>
  </si>
  <si>
    <t xml:space="preserve">QBR accelerated; adoption review completed</t>
  </si>
  <si>
    <t xml:space="preserve">Director reviews progress; CSM coached</t>
  </si>
  <si>
    <t xml:space="preserve">Health check; expansion signal scan</t>
  </si>
  <si>
    <t xml:space="preserve">If score declining</t>
  </si>
  <si>
    <t xml:space="preserve">CSM → Director if no improvement</t>
  </si>
  <si>
    <t xml:space="preserve">Score ≥ 70 within 45 days</t>
  </si>
  <si>
    <t xml:space="preserve">🟡 Monitor (70–84)</t>
  </si>
  <si>
    <t xml:space="preserve">Downward trend ≥ 2 consecutive months</t>
  </si>
  <si>
    <t xml:space="preserve">CSM check-in: usage &amp; open items</t>
  </si>
  <si>
    <t xml:space="preserve">CSAT pulse sent; feature tips shared</t>
  </si>
  <si>
    <t xml:space="preserve">QBR prep accelerated if renewal &lt; 90 days</t>
  </si>
  <si>
    <t xml:space="preserve">Review expansion pipeline</t>
  </si>
  <si>
    <t xml:space="preserve">Standard QBR cycle</t>
  </si>
  <si>
    <t xml:space="preserve">No unless exec asks</t>
  </si>
  <si>
    <t xml:space="preserve">CSM → Director if 2+ months declining</t>
  </si>
  <si>
    <t xml:space="preserve">Score ≥ 85 within 60 days</t>
  </si>
  <si>
    <t xml:space="preserve">  ONBOARDING MILESTONE TRACKER  ·  30-60-90 Day Framework  ·  Director: Cernice Robinson</t>
  </si>
  <si>
    <t xml:space="preserve">  Target TTV: 45 days  ·  Milestone-based checkpoints  ·  Auto-alerts at 110% of target days  ·  All new accounts enter this tracker at contract signature</t>
  </si>
  <si>
    <t xml:space="preserve">  STANDARD MILESTONE FRAMEWORK  ·  Applies to all tiers — Enterprise has additional milestones</t>
  </si>
  <si>
    <t xml:space="preserve">Phase</t>
  </si>
  <si>
    <t xml:space="preserve">Day Target</t>
  </si>
  <si>
    <t xml:space="preserve">Milestone</t>
  </si>
  <si>
    <t xml:space="preserve">Deliverable</t>
  </si>
  <si>
    <t xml:space="preserve">Success Criteria</t>
  </si>
  <si>
    <t xml:space="preserve">Tools / Systems</t>
  </si>
  <si>
    <t xml:space="preserve">Enterprise Add-On?</t>
  </si>
  <si>
    <t xml:space="preserve">Day 1</t>
  </si>
  <si>
    <t xml:space="preserve">Contract signed — onboarding triggered</t>
  </si>
  <si>
    <t xml:space="preserve">AE → CSM</t>
  </si>
  <si>
    <t xml:space="preserve">Handoff brief + account summary</t>
  </si>
  <si>
    <t xml:space="preserve">CSM contacted within 4 hrs of signature</t>
  </si>
  <si>
    <t xml:space="preserve">Gainsight / CRM</t>
  </si>
  <si>
    <t xml:space="preserve">AE provides deal notes + stakeholder map</t>
  </si>
  <si>
    <t xml:space="preserve">Day 3</t>
  </si>
  <si>
    <t xml:space="preserve">Kickoff call completed</t>
  </si>
  <si>
    <t xml:space="preserve">Kickoff deck + success plan draft</t>
  </si>
  <si>
    <t xml:space="preserve">All stakeholders confirmed; goals documented</t>
  </si>
  <si>
    <t xml:space="preserve">Zoom / Slides</t>
  </si>
  <si>
    <t xml:space="preserve">Send agenda 48hrs in advance</t>
  </si>
  <si>
    <t xml:space="preserve">Day 7</t>
  </si>
  <si>
    <t xml:space="preserve">Technical setup &amp; access provisioned</t>
  </si>
  <si>
    <t xml:space="preserve">CSM + IT</t>
  </si>
  <si>
    <t xml:space="preserve">Setup checklist completed</t>
  </si>
  <si>
    <t xml:space="preserve">100% of users have working access</t>
  </si>
  <si>
    <t xml:space="preserve">IT / Admin portal</t>
  </si>
  <si>
    <t xml:space="preserve">Enterprise: SSO + API integration</t>
  </si>
  <si>
    <t xml:space="preserve">Day 10</t>
  </si>
  <si>
    <t xml:space="preserve">Training session 1 (core users) completed</t>
  </si>
  <si>
    <t xml:space="preserve">Training recording + resource guide</t>
  </si>
  <si>
    <t xml:space="preserve">≥ 80% of core users trained</t>
  </si>
  <si>
    <t xml:space="preserve">LMS / Zoom</t>
  </si>
  <si>
    <t xml:space="preserve">Track attendance; send recording same day</t>
  </si>
  <si>
    <t xml:space="preserve">Day 14</t>
  </si>
  <si>
    <t xml:space="preserve">First value milestone achieved</t>
  </si>
  <si>
    <t xml:space="preserve">Value milestone confirmation note</t>
  </si>
  <si>
    <t xml:space="preserve">Client confirms 1 defined value outcome</t>
  </si>
  <si>
    <t xml:space="preserve">CS Platform / Email</t>
  </si>
  <si>
    <t xml:space="preserve">Agree on value def. at kickoff</t>
  </si>
  <si>
    <t xml:space="preserve">Day 21</t>
  </si>
  <si>
    <t xml:space="preserve">Admin &amp; power user training complete</t>
  </si>
  <si>
    <t xml:space="preserve">Certification summary</t>
  </si>
  <si>
    <t xml:space="preserve">All admins certified; power users active</t>
  </si>
  <si>
    <t xml:space="preserve">LMS / Admin portal</t>
  </si>
  <si>
    <t xml:space="preserve">Enterprise: custom admin training</t>
  </si>
  <si>
    <t xml:space="preserve">Day 30</t>
  </si>
  <si>
    <t xml:space="preserve">30-day health check &amp; success plan review</t>
  </si>
  <si>
    <t xml:space="preserve">CSM + Dir</t>
  </si>
  <si>
    <t xml:space="preserve">30-day report card</t>
  </si>
  <si>
    <t xml:space="preserve">Health score ≥ 70; goals on track</t>
  </si>
  <si>
    <t xml:space="preserve">Gainsight / Slides</t>
  </si>
  <si>
    <t xml:space="preserve">Director joins enterprise 30-day reviews</t>
  </si>
  <si>
    <t xml:space="preserve">Day 45</t>
  </si>
  <si>
    <t xml:space="preserve">Time-to-Value (TTV) milestone achieved</t>
  </si>
  <si>
    <t xml:space="preserve">TTV confirmation + ROI summary</t>
  </si>
  <si>
    <t xml:space="preserve">Client confirms value; CSAT ≥ 4.2</t>
  </si>
  <si>
    <t xml:space="preserve">CS Platform / Survey</t>
  </si>
  <si>
    <t xml:space="preserve">Document for case study if ≥ 4.5 CSAT</t>
  </si>
  <si>
    <t xml:space="preserve">Day 60</t>
  </si>
  <si>
    <t xml:space="preserve">Integration &amp; advanced feature adoption</t>
  </si>
  <si>
    <t xml:space="preserve">Feature adoption report</t>
  </si>
  <si>
    <t xml:space="preserve">≥ 60% feature utilization</t>
  </si>
  <si>
    <t xml:space="preserve">Enterprise: integration health verified</t>
  </si>
  <si>
    <t xml:space="preserve">Day 90</t>
  </si>
  <si>
    <t xml:space="preserve">First QBR completed</t>
  </si>
  <si>
    <t xml:space="preserve">QBR deck + joint success plan (next 90 days)</t>
  </si>
  <si>
    <t xml:space="preserve">All success plan items have owners + dates</t>
  </si>
  <si>
    <t xml:space="preserve">QBR Tab ↗</t>
  </si>
  <si>
    <t xml:space="preserve">Director attends all enterprise 90-day QBRs</t>
  </si>
  <si>
    <t xml:space="preserve">  ACTIVE ONBOARDING ACCOUNTS  ·  Q1 2025  ·  New accounts in current onboarding cycle</t>
  </si>
  <si>
    <t xml:space="preserve">Contract Date</t>
  </si>
  <si>
    <t xml:space="preserve">Day #</t>
  </si>
  <si>
    <t xml:space="preserve">TTV Target</t>
  </si>
  <si>
    <t xml:space="preserve">Current Phase</t>
  </si>
  <si>
    <t xml:space="preserve">% Milestones Done</t>
  </si>
  <si>
    <t xml:space="preserve">Kickoff</t>
  </si>
  <si>
    <t xml:space="preserve">Setup</t>
  </si>
  <si>
    <t xml:space="preserve">Training</t>
  </si>
  <si>
    <t xml:space="preserve">First Value</t>
  </si>
  <si>
    <t xml:space="preserve">30-Day Check</t>
  </si>
  <si>
    <t xml:space="preserve">TTV Achieved?</t>
  </si>
  <si>
    <t xml:space="preserve">Status / Alert</t>
  </si>
  <si>
    <t xml:space="preserve">Sprouts Expansion</t>
  </si>
  <si>
    <t xml:space="preserve">Jan 06 2025</t>
  </si>
  <si>
    <t xml:space="preserve">Day 30–45 Phase</t>
  </si>
  <si>
    <t xml:space="preserve">🔄 Pending</t>
  </si>
  <si>
    <t xml:space="preserve">4.4</t>
  </si>
  <si>
    <t xml:space="preserve">🟢 On Track</t>
  </si>
  <si>
    <t xml:space="preserve">Jan 20 2025</t>
  </si>
  <si>
    <t xml:space="preserve">Day 21–30 Phase</t>
  </si>
  <si>
    <t xml:space="preserve">⏳</t>
  </si>
  <si>
    <t xml:space="preserve">4.6</t>
  </si>
  <si>
    <t xml:space="preserve">Aldi Expansion</t>
  </si>
  <si>
    <t xml:space="preserve">Day 10–14 Phase</t>
  </si>
  <si>
    <t xml:space="preserve">—</t>
  </si>
  <si>
    <t xml:space="preserve">New Client A</t>
  </si>
  <si>
    <t xml:space="preserve">Jan 10 2025</t>
  </si>
  <si>
    <t xml:space="preserve">Day 30 Check</t>
  </si>
  <si>
    <t xml:space="preserve">4.1</t>
  </si>
  <si>
    <t xml:space="preserve">🟡 Watch — Day 30 due</t>
  </si>
  <si>
    <t xml:space="preserve">New Client B</t>
  </si>
  <si>
    <t xml:space="preserve">Dec 15 2024</t>
  </si>
  <si>
    <t xml:space="preserve">TTV Overdue</t>
  </si>
  <si>
    <t xml:space="preserve">❌ Overdue</t>
  </si>
  <si>
    <t xml:space="preserve">3.8</t>
  </si>
  <si>
    <t xml:space="preserve">🔴 TTV Exceeded — Action Required</t>
  </si>
  <si>
    <t xml:space="preserve">  ONBOARDING PERFORMANCE KPIs  ·  Q1 2025 YTD</t>
  </si>
  <si>
    <t xml:space="preserve">Actual</t>
  </si>
  <si>
    <t xml:space="preserve">vs. Target</t>
  </si>
  <si>
    <t xml:space="preserve">Average Time-to-Value</t>
  </si>
  <si>
    <t xml:space="preserve">43 days</t>
  </si>
  <si>
    <t xml:space="preserve">↓ Improving</t>
  </si>
  <si>
    <t xml:space="preserve">3-day improvement vs. Q4 2024 (46 days avg)</t>
  </si>
  <si>
    <t xml:space="preserve">Kickoff-to-First-Value Rate</t>
  </si>
  <si>
    <t xml:space="preserve">94%</t>
  </si>
  <si>
    <t xml:space="preserve">4 of 4 completed accounts hit first value on time</t>
  </si>
  <si>
    <t xml:space="preserve">30-Day Health Score ≥ 70</t>
  </si>
  <si>
    <t xml:space="preserve">85%</t>
  </si>
  <si>
    <t xml:space="preserve">80%</t>
  </si>
  <si>
    <t xml:space="preserve">1 account below threshold — coaching in progress</t>
  </si>
  <si>
    <t xml:space="preserve">Onboarding CSAT</t>
  </si>
  <si>
    <t xml:space="preserve">4.3</t>
  </si>
  <si>
    <t xml:space="preserve">Above target — new agenda template driving improvement</t>
  </si>
  <si>
    <t xml:space="preserve">Day-1 Contact Rate</t>
  </si>
  <si>
    <t xml:space="preserve">100%</t>
  </si>
  <si>
    <t xml:space="preserve">All new accounts contacted within 4 hrs of signature</t>
  </si>
  <si>
    <t xml:space="preserve">Milestone Completion Rate</t>
  </si>
  <si>
    <t xml:space="preserve">87%</t>
  </si>
  <si>
    <t xml:space="preserve">3% below target — 1 enterprise account delayed by client IT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</si>
</sst>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%"/>
    <numFmt numFmtId="167" formatCode="0.0"/>
    <numFmt numFmtId="168" formatCode="0"/>
    <numFmt numFmtId="169" formatCode="mmm\ dd\ 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0D98A"/>
      <name val="Arial"/>
      <family val="0"/>
      <charset val="1"/>
    </font>
    <font>
      <b val="true"/>
      <sz val="9"/>
      <color rgb="FFC9A84C"/>
      <name val="Arial"/>
      <family val="0"/>
      <charset val="1"/>
    </font>
    <font>
      <b val="true"/>
      <sz val="10"/>
      <color rgb="FFC9A84C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9C1F1F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1A3A5C"/>
      </patternFill>
    </fill>
    <fill>
      <patternFill patternType="solid">
        <fgColor rgb="FF2E4D8A"/>
        <bgColor rgb="FF1F3864"/>
      </patternFill>
    </fill>
    <fill>
      <patternFill patternType="solid">
        <fgColor rgb="FFFAF7F2"/>
        <bgColor rgb="FFFFF8F0"/>
      </patternFill>
    </fill>
    <fill>
      <patternFill patternType="solid">
        <fgColor rgb="FFFFFFFF"/>
        <bgColor rgb="FFFFFEF0"/>
      </patternFill>
    </fill>
    <fill>
      <patternFill patternType="solid">
        <fgColor rgb="FF7B0F0F"/>
        <bgColor rgb="FF800000"/>
      </patternFill>
    </fill>
    <fill>
      <patternFill patternType="solid">
        <fgColor rgb="FF9C1F1F"/>
        <bgColor rgb="FF7B0F0F"/>
      </patternFill>
    </fill>
    <fill>
      <patternFill patternType="solid">
        <fgColor rgb="FFFFF0F0"/>
        <bgColor rgb="FFFAF7F2"/>
      </patternFill>
    </fill>
    <fill>
      <patternFill patternType="solid">
        <fgColor rgb="FF1A3A5C"/>
        <bgColor rgb="FF1F3864"/>
      </patternFill>
    </fill>
    <fill>
      <patternFill patternType="solid">
        <fgColor rgb="FFF0F4FF"/>
        <bgColor rgb="FFFAF7F2"/>
      </patternFill>
    </fill>
    <fill>
      <patternFill patternType="solid">
        <fgColor rgb="FFFFF8F0"/>
        <bgColor rgb="FFFAF7F2"/>
      </patternFill>
    </fill>
    <fill>
      <patternFill patternType="solid">
        <fgColor rgb="FFFFFEF0"/>
        <bgColor rgb="FFFFF8F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2E4D8A"/>
      </left>
      <right style="thin">
        <color rgb="FF2E4D8A"/>
      </right>
      <top style="thin">
        <color rgb="FF2E4D8A"/>
      </top>
      <bottom style="thin">
        <color rgb="FF2E4D8A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5" fillId="3" borderId="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6" fillId="3" borderId="1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7" fillId="3" borderId="2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8" fillId="4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8" fillId="4" borderId="2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8" fillId="5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8" fillId="5" borderId="2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6" fillId="2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4" borderId="2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5" fontId="8" fillId="4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8" fillId="4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7" fontId="8" fillId="4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9" fillId="4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4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5" borderId="2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5" fontId="8" fillId="5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8" fillId="5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7" fontId="8" fillId="5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9" fillId="5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5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7" fillId="3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0" fillId="3" borderId="4" xfId="0" applyFont="false" applyBorder="true" applyAlignment="false" applyProtection="true">
      <alignment horizontal="general" vertical="bottom" textRotation="0" wrapText="false" indent="0" shrinkToFit="false"/>
      <protection locked="true" hidden="true"/>
    </xf>
    <xf numFmtId="165" fontId="7" fillId="3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6" fontId="7" fillId="3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8" fillId="4" borderId="2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8" fillId="5" borderId="2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true"/>
    </xf>
    <xf numFmtId="168" fontId="8" fillId="4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8" fillId="5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7" fillId="3" borderId="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7" fillId="3" borderId="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7" fontId="7" fillId="3" borderId="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7" fillId="3" borderId="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0" fillId="6" borderId="1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10" fillId="7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1" fillId="8" borderId="2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8" fillId="8" borderId="2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11" fillId="5" borderId="2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10" fillId="9" borderId="1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12" fillId="10" borderId="2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8" fillId="10" borderId="2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12" fillId="5" borderId="2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5" fillId="3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9" fillId="8" borderId="2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8" fillId="8" borderId="2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9" fillId="11" borderId="2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8" fillId="11" borderId="2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9" fillId="12" borderId="2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8" fillId="12" borderId="2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9" fontId="8" fillId="4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9" fontId="8" fillId="5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F0F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EF0"/>
      <rgbColor rgb="FFF0F4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7F2"/>
      <rgbColor rgb="FFFFF0F0"/>
      <rgbColor rgb="FFFFF8F0"/>
      <rgbColor rgb="FF99CCFF"/>
      <rgbColor rgb="FFFF99CC"/>
      <rgbColor rgb="FFCC99FF"/>
      <rgbColor rgb="FFF0D98A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1A3A5C"/>
      <rgbColor rgb="FF339966"/>
      <rgbColor rgb="FF003300"/>
      <rgbColor rgb="FF333300"/>
      <rgbColor rgb="FF9C1F1F"/>
      <rgbColor rgb="FF993366"/>
      <rgbColor rgb="FF2E4D8A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false" showRowColHeaders="fals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1" min="10" style="0" width="16"/>
    <col collapsed="false" customWidth="true" hidden="false" outlineLevel="0" max="13" min="12" style="0" width="14"/>
    <col collapsed="false" customWidth="true" hidden="false" outlineLevel="0" max="14" min="14" style="0" width="2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8" hidden="false" customHeight="true" outlineLevel="0" collapsed="false">
      <c r="A4" s="4" t="s">
        <v>2</v>
      </c>
      <c r="B4" s="4"/>
      <c r="C4" s="4"/>
      <c r="D4" s="4"/>
      <c r="E4" s="4"/>
      <c r="F4" s="4" t="s">
        <v>3</v>
      </c>
      <c r="G4" s="4"/>
      <c r="H4" s="4"/>
      <c r="I4" s="4"/>
      <c r="J4" s="4" t="s">
        <v>4</v>
      </c>
      <c r="K4" s="4"/>
      <c r="L4" s="4"/>
      <c r="M4" s="4"/>
      <c r="N4" s="4"/>
    </row>
    <row r="5" customFormat="false" ht="18" hidden="false" customHeight="true" outlineLevel="0" collapsed="false">
      <c r="A5" s="5" t="s">
        <v>5</v>
      </c>
      <c r="B5" s="5" t="s">
        <v>6</v>
      </c>
      <c r="C5" s="5" t="s">
        <v>7</v>
      </c>
      <c r="D5" s="5" t="s">
        <v>8</v>
      </c>
      <c r="E5" s="3"/>
      <c r="F5" s="5" t="s">
        <v>9</v>
      </c>
      <c r="G5" s="5" t="s">
        <v>10</v>
      </c>
      <c r="H5" s="5" t="s">
        <v>11</v>
      </c>
      <c r="I5" s="5" t="s">
        <v>12</v>
      </c>
      <c r="J5" s="6" t="s">
        <v>13</v>
      </c>
      <c r="K5" s="5" t="s">
        <v>14</v>
      </c>
      <c r="L5" s="6" t="s">
        <v>15</v>
      </c>
      <c r="M5" s="6" t="s">
        <v>16</v>
      </c>
      <c r="N5" s="6" t="s">
        <v>17</v>
      </c>
    </row>
    <row r="6" customFormat="false" ht="18" hidden="false" customHeight="true" outlineLevel="0" collapsed="false">
      <c r="A6" s="7" t="s">
        <v>18</v>
      </c>
      <c r="B6" s="7" t="s">
        <v>19</v>
      </c>
      <c r="C6" s="7" t="s">
        <v>20</v>
      </c>
      <c r="D6" s="7" t="s">
        <v>21</v>
      </c>
      <c r="E6" s="3"/>
      <c r="F6" s="7" t="s">
        <v>22</v>
      </c>
      <c r="G6" s="7" t="s">
        <v>23</v>
      </c>
      <c r="H6" s="7" t="s">
        <v>24</v>
      </c>
      <c r="I6" s="7" t="s">
        <v>25</v>
      </c>
      <c r="J6" s="8" t="s">
        <v>26</v>
      </c>
      <c r="K6" s="7" t="s">
        <v>27</v>
      </c>
      <c r="L6" s="8" t="s">
        <v>28</v>
      </c>
      <c r="M6" s="8" t="s">
        <v>29</v>
      </c>
      <c r="N6" s="8" t="s">
        <v>30</v>
      </c>
    </row>
    <row r="7" customFormat="false" ht="18" hidden="false" customHeight="true" outlineLevel="0" collapsed="false">
      <c r="A7" s="9" t="s">
        <v>31</v>
      </c>
      <c r="B7" s="9" t="s">
        <v>32</v>
      </c>
      <c r="C7" s="9" t="s">
        <v>33</v>
      </c>
      <c r="D7" s="9" t="s">
        <v>21</v>
      </c>
      <c r="E7" s="3"/>
      <c r="F7" s="9" t="s">
        <v>34</v>
      </c>
      <c r="G7" s="9" t="s">
        <v>35</v>
      </c>
      <c r="H7" s="9" t="s">
        <v>36</v>
      </c>
      <c r="I7" s="9" t="s">
        <v>37</v>
      </c>
      <c r="J7" s="10" t="s">
        <v>38</v>
      </c>
      <c r="K7" s="9" t="s">
        <v>39</v>
      </c>
      <c r="L7" s="10" t="s">
        <v>40</v>
      </c>
      <c r="M7" s="10" t="s">
        <v>41</v>
      </c>
      <c r="N7" s="10" t="s">
        <v>42</v>
      </c>
    </row>
    <row r="8" customFormat="false" ht="18" hidden="false" customHeight="true" outlineLevel="0" collapsed="false">
      <c r="A8" s="7" t="s">
        <v>43</v>
      </c>
      <c r="B8" s="7" t="s">
        <v>44</v>
      </c>
      <c r="C8" s="7" t="s">
        <v>45</v>
      </c>
      <c r="D8" s="7" t="s">
        <v>46</v>
      </c>
      <c r="E8" s="3"/>
      <c r="F8" s="7" t="s">
        <v>47</v>
      </c>
      <c r="G8" s="7" t="s">
        <v>48</v>
      </c>
      <c r="H8" s="7" t="s">
        <v>49</v>
      </c>
      <c r="I8" s="7" t="s">
        <v>50</v>
      </c>
      <c r="J8" s="8" t="s">
        <v>51</v>
      </c>
      <c r="K8" s="7" t="s">
        <v>52</v>
      </c>
      <c r="L8" s="8" t="s">
        <v>53</v>
      </c>
      <c r="M8" s="8" t="s">
        <v>54</v>
      </c>
      <c r="N8" s="8" t="s">
        <v>55</v>
      </c>
    </row>
    <row r="9" customFormat="false" ht="18" hidden="false" customHeight="true" outlineLevel="0" collapsed="false">
      <c r="A9" s="9" t="s">
        <v>56</v>
      </c>
      <c r="B9" s="9" t="s">
        <v>57</v>
      </c>
      <c r="C9" s="9" t="s">
        <v>58</v>
      </c>
      <c r="D9" s="9" t="s">
        <v>59</v>
      </c>
      <c r="E9" s="3"/>
      <c r="F9" s="9" t="s">
        <v>60</v>
      </c>
      <c r="G9" s="9" t="s">
        <v>61</v>
      </c>
      <c r="H9" s="9" t="s">
        <v>62</v>
      </c>
      <c r="I9" s="9" t="s">
        <v>63</v>
      </c>
      <c r="J9" s="10" t="s">
        <v>64</v>
      </c>
      <c r="K9" s="9" t="s">
        <v>65</v>
      </c>
      <c r="L9" s="10" t="s">
        <v>66</v>
      </c>
      <c r="M9" s="10" t="s">
        <v>54</v>
      </c>
      <c r="N9" s="10" t="s">
        <v>67</v>
      </c>
    </row>
    <row r="10" customFormat="false" ht="18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8" t="s">
        <v>68</v>
      </c>
      <c r="K10" s="7" t="s">
        <v>69</v>
      </c>
      <c r="L10" s="8" t="s">
        <v>70</v>
      </c>
      <c r="M10" s="8" t="s">
        <v>49</v>
      </c>
      <c r="N10" s="8" t="s">
        <v>71</v>
      </c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customFormat="false" ht="19.5" hidden="false" customHeight="true" outlineLevel="0" collapsed="false">
      <c r="A12" s="4" t="s">
        <v>72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customFormat="false" ht="19.5" hidden="false" customHeight="true" outlineLevel="0" collapsed="false">
      <c r="A13" s="11" t="s">
        <v>73</v>
      </c>
      <c r="B13" s="11" t="s">
        <v>9</v>
      </c>
      <c r="C13" s="11" t="s">
        <v>74</v>
      </c>
      <c r="D13" s="11" t="s">
        <v>75</v>
      </c>
      <c r="E13" s="11" t="s">
        <v>76</v>
      </c>
      <c r="F13" s="11" t="s">
        <v>77</v>
      </c>
      <c r="G13" s="11" t="s">
        <v>78</v>
      </c>
      <c r="H13" s="11" t="s">
        <v>79</v>
      </c>
      <c r="I13" s="11" t="s">
        <v>80</v>
      </c>
      <c r="J13" s="11" t="s">
        <v>81</v>
      </c>
      <c r="K13" s="11" t="s">
        <v>82</v>
      </c>
      <c r="L13" s="11" t="s">
        <v>83</v>
      </c>
      <c r="M13" s="11" t="s">
        <v>84</v>
      </c>
      <c r="N13" s="11" t="s">
        <v>85</v>
      </c>
    </row>
    <row r="14" customFormat="false" ht="18" hidden="false" customHeight="true" outlineLevel="0" collapsed="false">
      <c r="A14" s="12" t="s">
        <v>86</v>
      </c>
      <c r="B14" s="7" t="s">
        <v>22</v>
      </c>
      <c r="C14" s="7" t="s">
        <v>87</v>
      </c>
      <c r="D14" s="13" t="n">
        <v>2400</v>
      </c>
      <c r="E14" s="14" t="n">
        <v>0.92</v>
      </c>
      <c r="F14" s="15" t="n">
        <v>4.8</v>
      </c>
      <c r="G14" s="14" t="n">
        <v>0.88</v>
      </c>
      <c r="H14" s="14" t="n">
        <v>1</v>
      </c>
      <c r="I14" s="14" t="n">
        <v>0.95</v>
      </c>
      <c r="J14" s="16" t="n">
        <f aca="false">E14*0.3 + (F14/5)*0.25 + G14*0.2 + H14*0.15 + I14*0.1</f>
        <v>0.937</v>
      </c>
      <c r="K14" s="17" t="str">
        <f aca="false">IF(J14&gt;=0.85,"🟢  Healthy",IF(J14&gt;=0.7,"🟡  Monitor",IF(J14&gt;=0.5,"🟠  At Risk","🔴  Critical")))</f>
        <v>🟢  Healthy</v>
      </c>
      <c r="L14" s="7" t="s">
        <v>88</v>
      </c>
      <c r="M14" s="7" t="s">
        <v>89</v>
      </c>
      <c r="N14" s="8" t="s">
        <v>90</v>
      </c>
    </row>
    <row r="15" customFormat="false" ht="18" hidden="false" customHeight="true" outlineLevel="0" collapsed="false">
      <c r="A15" s="18" t="s">
        <v>91</v>
      </c>
      <c r="B15" s="9" t="s">
        <v>22</v>
      </c>
      <c r="C15" s="9" t="s">
        <v>87</v>
      </c>
      <c r="D15" s="19" t="n">
        <v>1800</v>
      </c>
      <c r="E15" s="20" t="n">
        <v>0.87</v>
      </c>
      <c r="F15" s="21" t="n">
        <v>4.6</v>
      </c>
      <c r="G15" s="20" t="n">
        <v>0.82</v>
      </c>
      <c r="H15" s="20" t="n">
        <v>0.98</v>
      </c>
      <c r="I15" s="20" t="n">
        <v>0.9</v>
      </c>
      <c r="J15" s="22" t="n">
        <f aca="false">E15*0.3 + (F15/5)*0.25 + G15*0.2 + H15*0.15 + I15*0.1</f>
        <v>0.892</v>
      </c>
      <c r="K15" s="23" t="str">
        <f aca="false">IF(J15&gt;=0.85,"🟢  Healthy",IF(J15&gt;=0.7,"🟡  Monitor",IF(J15&gt;=0.5,"🟠  At Risk","🔴  Critical")))</f>
        <v>🟢  Healthy</v>
      </c>
      <c r="L15" s="9" t="s">
        <v>92</v>
      </c>
      <c r="M15" s="9" t="s">
        <v>93</v>
      </c>
      <c r="N15" s="10" t="s">
        <v>94</v>
      </c>
    </row>
    <row r="16" customFormat="false" ht="18" hidden="false" customHeight="true" outlineLevel="0" collapsed="false">
      <c r="A16" s="12" t="s">
        <v>95</v>
      </c>
      <c r="B16" s="7" t="s">
        <v>22</v>
      </c>
      <c r="C16" s="7" t="s">
        <v>87</v>
      </c>
      <c r="D16" s="13" t="n">
        <v>950</v>
      </c>
      <c r="E16" s="14" t="n">
        <v>0.79</v>
      </c>
      <c r="F16" s="15" t="n">
        <v>4.4</v>
      </c>
      <c r="G16" s="14" t="n">
        <v>0.75</v>
      </c>
      <c r="H16" s="14" t="n">
        <v>0.95</v>
      </c>
      <c r="I16" s="14" t="n">
        <v>0.85</v>
      </c>
      <c r="J16" s="16" t="n">
        <f aca="false">E16*0.3 + (F16/5)*0.25 + G16*0.2 + H16*0.15 + I16*0.1</f>
        <v>0.8345</v>
      </c>
      <c r="K16" s="17" t="str">
        <f aca="false">IF(J16&gt;=0.85,"🟢  Healthy",IF(J16&gt;=0.7,"🟡  Monitor",IF(J16&gt;=0.5,"🟠  At Risk","🔴  Critical")))</f>
        <v>🟡  Monitor</v>
      </c>
      <c r="L16" s="7" t="s">
        <v>92</v>
      </c>
      <c r="M16" s="7" t="s">
        <v>96</v>
      </c>
      <c r="N16" s="8" t="s">
        <v>97</v>
      </c>
    </row>
    <row r="17" customFormat="false" ht="18" hidden="false" customHeight="true" outlineLevel="0" collapsed="false">
      <c r="A17" s="18" t="s">
        <v>98</v>
      </c>
      <c r="B17" s="9" t="s">
        <v>22</v>
      </c>
      <c r="C17" s="9" t="s">
        <v>99</v>
      </c>
      <c r="D17" s="19" t="n">
        <v>1200</v>
      </c>
      <c r="E17" s="20" t="n">
        <v>0.71</v>
      </c>
      <c r="F17" s="21" t="n">
        <v>4.1</v>
      </c>
      <c r="G17" s="20" t="n">
        <v>0.68</v>
      </c>
      <c r="H17" s="20" t="n">
        <v>0.92</v>
      </c>
      <c r="I17" s="20" t="n">
        <v>0.8</v>
      </c>
      <c r="J17" s="22" t="n">
        <f aca="false">E17*0.3 + (F17/5)*0.25 + G17*0.2 + H17*0.15 + I17*0.1</f>
        <v>0.772</v>
      </c>
      <c r="K17" s="23" t="str">
        <f aca="false">IF(J17&gt;=0.85,"🟢  Healthy",IF(J17&gt;=0.7,"🟡  Monitor",IF(J17&gt;=0.5,"🟠  At Risk","🔴  Critical")))</f>
        <v>🟡  Monitor</v>
      </c>
      <c r="L17" s="9" t="s">
        <v>100</v>
      </c>
      <c r="M17" s="9" t="s">
        <v>101</v>
      </c>
      <c r="N17" s="10" t="s">
        <v>102</v>
      </c>
    </row>
    <row r="18" customFormat="false" ht="18" hidden="false" customHeight="true" outlineLevel="0" collapsed="false">
      <c r="A18" s="12" t="s">
        <v>103</v>
      </c>
      <c r="B18" s="7" t="s">
        <v>22</v>
      </c>
      <c r="C18" s="7" t="s">
        <v>99</v>
      </c>
      <c r="D18" s="13" t="n">
        <v>880</v>
      </c>
      <c r="E18" s="14" t="n">
        <v>0.65</v>
      </c>
      <c r="F18" s="15" t="n">
        <v>3.9</v>
      </c>
      <c r="G18" s="14" t="n">
        <v>0.6</v>
      </c>
      <c r="H18" s="14" t="n">
        <v>0.88</v>
      </c>
      <c r="I18" s="14" t="n">
        <v>0.72</v>
      </c>
      <c r="J18" s="16" t="n">
        <f aca="false">E18*0.3 + (F18/5)*0.25 + G18*0.2 + H18*0.15 + I18*0.1</f>
        <v>0.714</v>
      </c>
      <c r="K18" s="17" t="str">
        <f aca="false">IF(J18&gt;=0.85,"🟢  Healthy",IF(J18&gt;=0.7,"🟡  Monitor",IF(J18&gt;=0.5,"🟠  At Risk","🔴  Critical")))</f>
        <v>🟡  Monitor</v>
      </c>
      <c r="L18" s="7" t="s">
        <v>100</v>
      </c>
      <c r="M18" s="7" t="s">
        <v>104</v>
      </c>
      <c r="N18" s="8" t="s">
        <v>105</v>
      </c>
    </row>
    <row r="19" customFormat="false" ht="18" hidden="false" customHeight="true" outlineLevel="0" collapsed="false">
      <c r="A19" s="18" t="s">
        <v>106</v>
      </c>
      <c r="B19" s="9" t="s">
        <v>34</v>
      </c>
      <c r="C19" s="9" t="s">
        <v>107</v>
      </c>
      <c r="D19" s="19" t="n">
        <v>420</v>
      </c>
      <c r="E19" s="20" t="n">
        <v>0.88</v>
      </c>
      <c r="F19" s="21" t="n">
        <v>4.7</v>
      </c>
      <c r="G19" s="20" t="n">
        <v>0.85</v>
      </c>
      <c r="H19" s="20" t="n">
        <v>0.97</v>
      </c>
      <c r="I19" s="20" t="n">
        <v>0.88</v>
      </c>
      <c r="J19" s="22" t="n">
        <f aca="false">E19*0.3 + (F19/5)*0.25 + G19*0.2 + H19*0.15 + I19*0.1</f>
        <v>0.9025</v>
      </c>
      <c r="K19" s="23" t="str">
        <f aca="false">IF(J19&gt;=0.85,"🟢  Healthy",IF(J19&gt;=0.7,"🟡  Monitor",IF(J19&gt;=0.5,"🟠  At Risk","🔴  Critical")))</f>
        <v>🟢  Healthy</v>
      </c>
      <c r="L19" s="9" t="s">
        <v>88</v>
      </c>
      <c r="M19" s="9" t="s">
        <v>108</v>
      </c>
      <c r="N19" s="10" t="s">
        <v>109</v>
      </c>
    </row>
    <row r="20" customFormat="false" ht="18" hidden="false" customHeight="true" outlineLevel="0" collapsed="false">
      <c r="A20" s="12" t="s">
        <v>110</v>
      </c>
      <c r="B20" s="7" t="s">
        <v>34</v>
      </c>
      <c r="C20" s="7" t="s">
        <v>107</v>
      </c>
      <c r="D20" s="13" t="n">
        <v>310</v>
      </c>
      <c r="E20" s="14" t="n">
        <v>0.74</v>
      </c>
      <c r="F20" s="15" t="n">
        <v>4.2</v>
      </c>
      <c r="G20" s="14" t="n">
        <v>0.7</v>
      </c>
      <c r="H20" s="14" t="n">
        <v>0.9</v>
      </c>
      <c r="I20" s="14" t="n">
        <v>0.78</v>
      </c>
      <c r="J20" s="16" t="n">
        <f aca="false">E20*0.3 + (F20/5)*0.25 + G20*0.2 + H20*0.15 + I20*0.1</f>
        <v>0.785</v>
      </c>
      <c r="K20" s="17" t="str">
        <f aca="false">IF(J20&gt;=0.85,"🟢  Healthy",IF(J20&gt;=0.7,"🟡  Monitor",IF(J20&gt;=0.5,"🟠  At Risk","🔴  Critical")))</f>
        <v>🟡  Monitor</v>
      </c>
      <c r="L20" s="7" t="s">
        <v>92</v>
      </c>
      <c r="M20" s="7" t="s">
        <v>111</v>
      </c>
      <c r="N20" s="8" t="s">
        <v>112</v>
      </c>
    </row>
    <row r="21" customFormat="false" ht="18" hidden="false" customHeight="true" outlineLevel="0" collapsed="false">
      <c r="A21" s="18" t="s">
        <v>113</v>
      </c>
      <c r="B21" s="9" t="s">
        <v>34</v>
      </c>
      <c r="C21" s="9" t="s">
        <v>107</v>
      </c>
      <c r="D21" s="19" t="n">
        <v>285</v>
      </c>
      <c r="E21" s="20" t="n">
        <v>0.55</v>
      </c>
      <c r="F21" s="21" t="n">
        <v>3.6</v>
      </c>
      <c r="G21" s="20" t="n">
        <v>0.5</v>
      </c>
      <c r="H21" s="20" t="n">
        <v>0.82</v>
      </c>
      <c r="I21" s="20" t="n">
        <v>0.6</v>
      </c>
      <c r="J21" s="22" t="n">
        <f aca="false">E21*0.3 + (F21/5)*0.25 + G21*0.2 + H21*0.15 + I21*0.1</f>
        <v>0.628</v>
      </c>
      <c r="K21" s="23" t="str">
        <f aca="false">IF(J21&gt;=0.85,"🟢  Healthy",IF(J21&gt;=0.7,"🟡  Monitor",IF(J21&gt;=0.5,"🟠  At Risk","🔴  Critical")))</f>
        <v>🟠  At Risk</v>
      </c>
      <c r="L21" s="9" t="s">
        <v>100</v>
      </c>
      <c r="M21" s="9" t="s">
        <v>114</v>
      </c>
      <c r="N21" s="10" t="s">
        <v>115</v>
      </c>
    </row>
    <row r="22" customFormat="false" ht="18" hidden="false" customHeight="true" outlineLevel="0" collapsed="false">
      <c r="A22" s="12" t="s">
        <v>116</v>
      </c>
      <c r="B22" s="7" t="s">
        <v>47</v>
      </c>
      <c r="C22" s="7" t="s">
        <v>117</v>
      </c>
      <c r="D22" s="13" t="n">
        <v>140</v>
      </c>
      <c r="E22" s="14" t="n">
        <v>0.82</v>
      </c>
      <c r="F22" s="15" t="n">
        <v>4.5</v>
      </c>
      <c r="G22" s="14" t="n">
        <v>0.8</v>
      </c>
      <c r="H22" s="14" t="n">
        <v>0.94</v>
      </c>
      <c r="I22" s="14" t="n">
        <v>0.82</v>
      </c>
      <c r="J22" s="16" t="n">
        <f aca="false">E22*0.3 + (F22/5)*0.25 + G22*0.2 + H22*0.15 + I22*0.1</f>
        <v>0.854</v>
      </c>
      <c r="K22" s="17" t="str">
        <f aca="false">IF(J22&gt;=0.85,"🟢  Healthy",IF(J22&gt;=0.7,"🟡  Monitor",IF(J22&gt;=0.5,"🟠  At Risk","🔴  Critical")))</f>
        <v>🟢  Healthy</v>
      </c>
      <c r="L22" s="7" t="s">
        <v>92</v>
      </c>
      <c r="M22" s="7" t="s">
        <v>118</v>
      </c>
      <c r="N22" s="8" t="s">
        <v>119</v>
      </c>
    </row>
    <row r="23" customFormat="false" ht="18" hidden="false" customHeight="true" outlineLevel="0" collapsed="false">
      <c r="A23" s="18" t="s">
        <v>120</v>
      </c>
      <c r="B23" s="9" t="s">
        <v>47</v>
      </c>
      <c r="C23" s="9" t="s">
        <v>117</v>
      </c>
      <c r="D23" s="19" t="n">
        <v>120</v>
      </c>
      <c r="E23" s="20" t="n">
        <v>0.45</v>
      </c>
      <c r="F23" s="21" t="n">
        <v>3.2</v>
      </c>
      <c r="G23" s="20" t="n">
        <v>0.42</v>
      </c>
      <c r="H23" s="20" t="n">
        <v>0.75</v>
      </c>
      <c r="I23" s="20" t="n">
        <v>0.5</v>
      </c>
      <c r="J23" s="22" t="n">
        <f aca="false">E23*0.3 + (F23/5)*0.25 + G23*0.2 + H23*0.15 + I23*0.1</f>
        <v>0.5415</v>
      </c>
      <c r="K23" s="23" t="str">
        <f aca="false">IF(J23&gt;=0.85,"🟢  Healthy",IF(J23&gt;=0.7,"🟡  Monitor",IF(J23&gt;=0.5,"🟠  At Risk","🔴  Critical")))</f>
        <v>🟠  At Risk</v>
      </c>
      <c r="L23" s="9" t="s">
        <v>100</v>
      </c>
      <c r="M23" s="9" t="s">
        <v>121</v>
      </c>
      <c r="N23" s="10" t="s">
        <v>122</v>
      </c>
    </row>
    <row r="24" customFormat="false" ht="19.5" hidden="false" customHeight="true" outlineLevel="0" collapsed="false">
      <c r="A24" s="24" t="s">
        <v>123</v>
      </c>
      <c r="B24" s="25"/>
      <c r="C24" s="25"/>
      <c r="D24" s="26" t="n">
        <f aca="false">SUM(D14:D23)</f>
        <v>8505</v>
      </c>
      <c r="E24" s="27" t="n">
        <f aca="false">AVERAGE(E14:E23)</f>
        <v>0.738</v>
      </c>
      <c r="F24" s="25"/>
      <c r="G24" s="25"/>
      <c r="H24" s="25"/>
      <c r="I24" s="25"/>
      <c r="J24" s="27" t="n">
        <f aca="false">AVERAGE(J14:J23)</f>
        <v>0.78605</v>
      </c>
      <c r="K24" s="25"/>
      <c r="L24" s="25"/>
      <c r="M24" s="25"/>
      <c r="N24" s="25"/>
    </row>
  </sheetData>
  <sheetProtection sheet="true" password="8ba0" objects="true" scenarios="true" selectLockedCells="true" selectUnlockedCells="true"/>
  <mergeCells count="6">
    <mergeCell ref="A1:N1"/>
    <mergeCell ref="A2:N2"/>
    <mergeCell ref="A4:E4"/>
    <mergeCell ref="F4:I4"/>
    <mergeCell ref="J4:N4"/>
    <mergeCell ref="A12:N12"/>
  </mergeCells>
  <conditionalFormatting sqref="J14:J23">
    <cfRule type="colorScale" priority="2">
      <colorScale>
        <cfvo type="num" val="0.4"/>
        <cfvo type="num" val="0.7"/>
        <cfvo type="num" val="1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28"/>
    <col collapsed="false" customWidth="true" hidden="false" outlineLevel="0" max="11" min="11" style="0" width="12"/>
    <col collapsed="false" customWidth="true" hidden="false" outlineLevel="0" max="12" min="12" style="0" width="24"/>
  </cols>
  <sheetData>
    <row r="1" customFormat="false" ht="36" hidden="false" customHeight="true" outlineLevel="0" collapsed="false">
      <c r="A1" s="1" t="s">
        <v>124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false" outlineLevel="0" collapsed="false">
      <c r="A4" s="4" t="s">
        <v>126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11" t="s">
        <v>127</v>
      </c>
      <c r="B5" s="11" t="s">
        <v>75</v>
      </c>
      <c r="C5" s="11" t="s">
        <v>128</v>
      </c>
      <c r="D5" s="11" t="s">
        <v>129</v>
      </c>
      <c r="E5" s="11" t="s">
        <v>130</v>
      </c>
      <c r="F5" s="11" t="s">
        <v>21</v>
      </c>
      <c r="G5" s="11" t="s">
        <v>131</v>
      </c>
      <c r="H5" s="11" t="s">
        <v>132</v>
      </c>
      <c r="I5" s="11" t="s">
        <v>133</v>
      </c>
      <c r="J5" s="11" t="s">
        <v>134</v>
      </c>
      <c r="K5" s="11" t="s">
        <v>135</v>
      </c>
      <c r="L5" s="11" t="s">
        <v>136</v>
      </c>
    </row>
    <row r="6" customFormat="false" ht="18" hidden="false" customHeight="true" outlineLevel="0" collapsed="false">
      <c r="A6" s="8" t="s">
        <v>86</v>
      </c>
      <c r="B6" s="13" t="n">
        <v>2400</v>
      </c>
      <c r="C6" s="7" t="s">
        <v>137</v>
      </c>
      <c r="D6" s="14" t="n">
        <f aca="false">VLOOKUP(A6,'🏥 Health Scoring'!A14:N23,10,FALSE())</f>
        <v>0.937</v>
      </c>
      <c r="E6" s="7" t="s">
        <v>138</v>
      </c>
      <c r="F6" s="7" t="s">
        <v>87</v>
      </c>
      <c r="G6" s="7" t="s">
        <v>139</v>
      </c>
      <c r="H6" s="7" t="s">
        <v>140</v>
      </c>
      <c r="I6" s="7" t="s">
        <v>141</v>
      </c>
      <c r="J6" s="7" t="s">
        <v>142</v>
      </c>
      <c r="K6" s="7" t="s">
        <v>143</v>
      </c>
      <c r="L6" s="7" t="s">
        <v>144</v>
      </c>
    </row>
    <row r="7" customFormat="false" ht="18" hidden="false" customHeight="true" outlineLevel="0" collapsed="false">
      <c r="A7" s="10" t="s">
        <v>91</v>
      </c>
      <c r="B7" s="19" t="n">
        <v>1800</v>
      </c>
      <c r="C7" s="9" t="s">
        <v>145</v>
      </c>
      <c r="D7" s="20" t="n">
        <f aca="false">VLOOKUP(A7,'🏥 Health Scoring'!A14:N23,10,FALSE())</f>
        <v>0.892</v>
      </c>
      <c r="E7" s="9" t="s">
        <v>146</v>
      </c>
      <c r="F7" s="9" t="s">
        <v>87</v>
      </c>
      <c r="G7" s="9" t="s">
        <v>147</v>
      </c>
      <c r="H7" s="9" t="s">
        <v>148</v>
      </c>
      <c r="I7" s="9" t="s">
        <v>149</v>
      </c>
      <c r="J7" s="9" t="s">
        <v>150</v>
      </c>
      <c r="K7" s="9" t="s">
        <v>151</v>
      </c>
      <c r="L7" s="9" t="s">
        <v>144</v>
      </c>
    </row>
    <row r="8" customFormat="false" ht="18" hidden="false" customHeight="true" outlineLevel="0" collapsed="false">
      <c r="A8" s="8" t="s">
        <v>98</v>
      </c>
      <c r="B8" s="13" t="n">
        <v>1200</v>
      </c>
      <c r="C8" s="7" t="s">
        <v>152</v>
      </c>
      <c r="D8" s="14" t="n">
        <f aca="false">VLOOKUP(A8,'🏥 Health Scoring'!A14:N23,10,FALSE())</f>
        <v>0.772</v>
      </c>
      <c r="E8" s="7" t="s">
        <v>153</v>
      </c>
      <c r="F8" s="7" t="s">
        <v>99</v>
      </c>
      <c r="G8" s="7" t="s">
        <v>154</v>
      </c>
      <c r="H8" s="7" t="s">
        <v>155</v>
      </c>
      <c r="I8" s="7" t="s">
        <v>156</v>
      </c>
      <c r="J8" s="7" t="s">
        <v>157</v>
      </c>
      <c r="K8" s="7" t="s">
        <v>158</v>
      </c>
      <c r="L8" s="7" t="s">
        <v>144</v>
      </c>
    </row>
    <row r="9" customFormat="false" ht="18" hidden="false" customHeight="true" outlineLevel="0" collapsed="false">
      <c r="A9" s="10" t="s">
        <v>103</v>
      </c>
      <c r="B9" s="19" t="n">
        <v>880</v>
      </c>
      <c r="C9" s="9" t="s">
        <v>159</v>
      </c>
      <c r="D9" s="20" t="n">
        <f aca="false">VLOOKUP(A9,'🏥 Health Scoring'!A14:N23,10,FALSE())</f>
        <v>0.714</v>
      </c>
      <c r="E9" s="9" t="s">
        <v>160</v>
      </c>
      <c r="F9" s="9" t="s">
        <v>99</v>
      </c>
      <c r="G9" s="9" t="s">
        <v>161</v>
      </c>
      <c r="H9" s="9" t="s">
        <v>155</v>
      </c>
      <c r="I9" s="9" t="s">
        <v>162</v>
      </c>
      <c r="J9" s="9" t="s">
        <v>163</v>
      </c>
      <c r="K9" s="9" t="s">
        <v>164</v>
      </c>
      <c r="L9" s="9" t="s">
        <v>165</v>
      </c>
    </row>
    <row r="10" customFormat="false" ht="18" hidden="false" customHeight="true" outlineLevel="0" collapsed="false">
      <c r="A10" s="8" t="s">
        <v>106</v>
      </c>
      <c r="B10" s="13" t="n">
        <v>420</v>
      </c>
      <c r="C10" s="7" t="s">
        <v>166</v>
      </c>
      <c r="D10" s="14" t="n">
        <f aca="false">VLOOKUP(A10,'🏥 Health Scoring'!A14:N23,10,FALSE())</f>
        <v>0.9025</v>
      </c>
      <c r="E10" s="7" t="s">
        <v>167</v>
      </c>
      <c r="F10" s="7" t="s">
        <v>107</v>
      </c>
      <c r="G10" s="7" t="s">
        <v>168</v>
      </c>
      <c r="H10" s="7" t="s">
        <v>155</v>
      </c>
      <c r="I10" s="7" t="s">
        <v>169</v>
      </c>
      <c r="J10" s="7" t="s">
        <v>21</v>
      </c>
      <c r="K10" s="7" t="s">
        <v>143</v>
      </c>
      <c r="L10" s="7" t="s">
        <v>165</v>
      </c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5" hidden="false" customHeight="false" outlineLevel="0" collapsed="false">
      <c r="A13" s="4" t="s">
        <v>170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5" hidden="false" customHeight="false" outlineLevel="0" collapsed="false">
      <c r="A14" s="11" t="s">
        <v>171</v>
      </c>
      <c r="B14" s="11" t="s">
        <v>172</v>
      </c>
      <c r="C14" s="11" t="s">
        <v>8</v>
      </c>
      <c r="D14" s="11" t="s">
        <v>173</v>
      </c>
      <c r="E14" s="11" t="s">
        <v>174</v>
      </c>
      <c r="F14" s="11" t="s">
        <v>175</v>
      </c>
      <c r="G14" s="11" t="s">
        <v>176</v>
      </c>
      <c r="H14" s="11" t="s">
        <v>177</v>
      </c>
      <c r="I14" s="11" t="s">
        <v>178</v>
      </c>
      <c r="J14" s="11" t="s">
        <v>179</v>
      </c>
      <c r="K14" s="11" t="s">
        <v>180</v>
      </c>
      <c r="L14" s="11" t="s">
        <v>181</v>
      </c>
    </row>
    <row r="15" customFormat="false" ht="25.5" hidden="false" customHeight="true" outlineLevel="0" collapsed="false">
      <c r="A15" s="7" t="n">
        <v>1</v>
      </c>
      <c r="B15" s="8" t="s">
        <v>182</v>
      </c>
      <c r="C15" s="7" t="s">
        <v>183</v>
      </c>
      <c r="D15" s="7" t="s">
        <v>184</v>
      </c>
      <c r="E15" s="28" t="s">
        <v>185</v>
      </c>
      <c r="F15" s="7" t="s">
        <v>186</v>
      </c>
      <c r="G15" s="8" t="s">
        <v>187</v>
      </c>
      <c r="H15" s="7" t="s">
        <v>188</v>
      </c>
      <c r="I15" s="7" t="s">
        <v>188</v>
      </c>
      <c r="J15" s="28" t="s">
        <v>189</v>
      </c>
      <c r="K15" s="7" t="s">
        <v>190</v>
      </c>
      <c r="L15" s="7" t="s">
        <v>191</v>
      </c>
    </row>
    <row r="16" customFormat="false" ht="25.5" hidden="false" customHeight="true" outlineLevel="0" collapsed="false">
      <c r="A16" s="9" t="n">
        <v>2</v>
      </c>
      <c r="B16" s="10" t="s">
        <v>192</v>
      </c>
      <c r="C16" s="9" t="s">
        <v>193</v>
      </c>
      <c r="D16" s="9" t="s">
        <v>194</v>
      </c>
      <c r="E16" s="29" t="s">
        <v>195</v>
      </c>
      <c r="F16" s="9" t="s">
        <v>196</v>
      </c>
      <c r="G16" s="10" t="s">
        <v>197</v>
      </c>
      <c r="H16" s="9" t="s">
        <v>198</v>
      </c>
      <c r="I16" s="9" t="s">
        <v>188</v>
      </c>
      <c r="J16" s="29" t="s">
        <v>199</v>
      </c>
      <c r="K16" s="9" t="s">
        <v>190</v>
      </c>
      <c r="L16" s="9" t="s">
        <v>200</v>
      </c>
    </row>
    <row r="17" customFormat="false" ht="25.5" hidden="false" customHeight="true" outlineLevel="0" collapsed="false">
      <c r="A17" s="7" t="n">
        <v>3</v>
      </c>
      <c r="B17" s="8" t="s">
        <v>201</v>
      </c>
      <c r="C17" s="7" t="s">
        <v>21</v>
      </c>
      <c r="D17" s="7" t="s">
        <v>202</v>
      </c>
      <c r="E17" s="28" t="s">
        <v>203</v>
      </c>
      <c r="F17" s="7" t="s">
        <v>204</v>
      </c>
      <c r="G17" s="8" t="s">
        <v>205</v>
      </c>
      <c r="H17" s="7" t="s">
        <v>198</v>
      </c>
      <c r="I17" s="7" t="s">
        <v>188</v>
      </c>
      <c r="J17" s="28" t="s">
        <v>206</v>
      </c>
      <c r="K17" s="7" t="s">
        <v>190</v>
      </c>
      <c r="L17" s="7" t="s">
        <v>207</v>
      </c>
    </row>
    <row r="18" customFormat="false" ht="25.5" hidden="false" customHeight="true" outlineLevel="0" collapsed="false">
      <c r="A18" s="9" t="n">
        <v>4</v>
      </c>
      <c r="B18" s="10" t="s">
        <v>208</v>
      </c>
      <c r="C18" s="9" t="s">
        <v>21</v>
      </c>
      <c r="D18" s="9" t="s">
        <v>202</v>
      </c>
      <c r="E18" s="29" t="s">
        <v>209</v>
      </c>
      <c r="F18" s="9" t="s">
        <v>210</v>
      </c>
      <c r="G18" s="10" t="s">
        <v>211</v>
      </c>
      <c r="H18" s="9" t="s">
        <v>188</v>
      </c>
      <c r="I18" s="9" t="s">
        <v>198</v>
      </c>
      <c r="J18" s="29" t="s">
        <v>212</v>
      </c>
      <c r="K18" s="9" t="s">
        <v>213</v>
      </c>
      <c r="L18" s="9" t="s">
        <v>214</v>
      </c>
    </row>
    <row r="19" customFormat="false" ht="25.5" hidden="false" customHeight="true" outlineLevel="0" collapsed="false">
      <c r="A19" s="7" t="n">
        <v>5</v>
      </c>
      <c r="B19" s="8" t="s">
        <v>215</v>
      </c>
      <c r="C19" s="7" t="s">
        <v>216</v>
      </c>
      <c r="D19" s="7" t="s">
        <v>194</v>
      </c>
      <c r="E19" s="28" t="s">
        <v>217</v>
      </c>
      <c r="F19" s="7" t="s">
        <v>218</v>
      </c>
      <c r="G19" s="8" t="s">
        <v>219</v>
      </c>
      <c r="H19" s="7" t="s">
        <v>198</v>
      </c>
      <c r="I19" s="7" t="s">
        <v>198</v>
      </c>
      <c r="J19" s="28" t="s">
        <v>220</v>
      </c>
      <c r="K19" s="7" t="s">
        <v>190</v>
      </c>
      <c r="L19" s="7" t="s">
        <v>221</v>
      </c>
    </row>
    <row r="20" customFormat="false" ht="25.5" hidden="false" customHeight="true" outlineLevel="0" collapsed="false">
      <c r="A20" s="9" t="n">
        <v>6</v>
      </c>
      <c r="B20" s="10" t="s">
        <v>222</v>
      </c>
      <c r="C20" s="9" t="s">
        <v>223</v>
      </c>
      <c r="D20" s="9" t="s">
        <v>202</v>
      </c>
      <c r="E20" s="29" t="s">
        <v>224</v>
      </c>
      <c r="F20" s="9" t="s">
        <v>225</v>
      </c>
      <c r="G20" s="10" t="s">
        <v>226</v>
      </c>
      <c r="H20" s="9" t="s">
        <v>188</v>
      </c>
      <c r="I20" s="9" t="s">
        <v>188</v>
      </c>
      <c r="J20" s="29" t="s">
        <v>227</v>
      </c>
      <c r="K20" s="9" t="s">
        <v>213</v>
      </c>
      <c r="L20" s="9" t="s">
        <v>228</v>
      </c>
    </row>
    <row r="21" customFormat="false" ht="25.5" hidden="false" customHeight="true" outlineLevel="0" collapsed="false">
      <c r="A21" s="7" t="n">
        <v>7</v>
      </c>
      <c r="B21" s="8" t="s">
        <v>229</v>
      </c>
      <c r="C21" s="7" t="s">
        <v>216</v>
      </c>
      <c r="D21" s="7" t="s">
        <v>194</v>
      </c>
      <c r="E21" s="28" t="s">
        <v>230</v>
      </c>
      <c r="F21" s="7" t="s">
        <v>231</v>
      </c>
      <c r="G21" s="8" t="s">
        <v>232</v>
      </c>
      <c r="H21" s="7" t="s">
        <v>188</v>
      </c>
      <c r="I21" s="7" t="s">
        <v>198</v>
      </c>
      <c r="J21" s="28" t="s">
        <v>233</v>
      </c>
      <c r="K21" s="7" t="s">
        <v>190</v>
      </c>
      <c r="L21" s="7" t="s">
        <v>234</v>
      </c>
    </row>
    <row r="22" customFormat="false" ht="25.5" hidden="false" customHeight="true" outlineLevel="0" collapsed="false">
      <c r="A22" s="9" t="n">
        <v>8</v>
      </c>
      <c r="B22" s="10" t="s">
        <v>235</v>
      </c>
      <c r="C22" s="9" t="s">
        <v>223</v>
      </c>
      <c r="D22" s="9" t="s">
        <v>184</v>
      </c>
      <c r="E22" s="29" t="s">
        <v>236</v>
      </c>
      <c r="F22" s="9" t="s">
        <v>237</v>
      </c>
      <c r="G22" s="10" t="s">
        <v>238</v>
      </c>
      <c r="H22" s="9" t="s">
        <v>188</v>
      </c>
      <c r="I22" s="9" t="s">
        <v>198</v>
      </c>
      <c r="J22" s="29" t="s">
        <v>239</v>
      </c>
      <c r="K22" s="9" t="s">
        <v>213</v>
      </c>
      <c r="L22" s="9" t="s">
        <v>240</v>
      </c>
    </row>
    <row r="23" customFormat="false" ht="25.5" hidden="false" customHeight="true" outlineLevel="0" collapsed="false">
      <c r="A23" s="7" t="n">
        <v>9</v>
      </c>
      <c r="B23" s="8" t="s">
        <v>241</v>
      </c>
      <c r="C23" s="7" t="s">
        <v>21</v>
      </c>
      <c r="D23" s="7" t="s">
        <v>184</v>
      </c>
      <c r="E23" s="28" t="s">
        <v>242</v>
      </c>
      <c r="F23" s="7" t="s">
        <v>243</v>
      </c>
      <c r="G23" s="8" t="s">
        <v>244</v>
      </c>
      <c r="H23" s="7" t="s">
        <v>188</v>
      </c>
      <c r="I23" s="7" t="s">
        <v>198</v>
      </c>
      <c r="J23" s="28" t="s">
        <v>245</v>
      </c>
      <c r="K23" s="7" t="s">
        <v>190</v>
      </c>
      <c r="L23" s="7" t="s">
        <v>246</v>
      </c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customFormat="false" ht="15" hidden="false" customHeight="false" outlineLevel="0" collapsed="false">
      <c r="A26" s="4" t="s">
        <v>247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customFormat="false" ht="15" hidden="false" customHeight="false" outlineLevel="0" collapsed="false">
      <c r="A27" s="11" t="s">
        <v>127</v>
      </c>
      <c r="B27" s="11" t="s">
        <v>248</v>
      </c>
      <c r="C27" s="11" t="s">
        <v>8</v>
      </c>
      <c r="D27" s="11" t="s">
        <v>249</v>
      </c>
      <c r="E27" s="11" t="s">
        <v>250</v>
      </c>
      <c r="F27" s="11" t="s">
        <v>136</v>
      </c>
      <c r="G27" s="11" t="s">
        <v>251</v>
      </c>
      <c r="H27" s="11" t="s">
        <v>252</v>
      </c>
      <c r="I27" s="11" t="s">
        <v>180</v>
      </c>
      <c r="J27" s="11" t="s">
        <v>253</v>
      </c>
      <c r="K27" s="11" t="s">
        <v>254</v>
      </c>
      <c r="L27" s="11" t="s">
        <v>255</v>
      </c>
    </row>
    <row r="28" customFormat="false" ht="25.5" hidden="false" customHeight="true" outlineLevel="0" collapsed="false">
      <c r="A28" s="8" t="s">
        <v>86</v>
      </c>
      <c r="B28" s="28" t="s">
        <v>256</v>
      </c>
      <c r="C28" s="8" t="s">
        <v>257</v>
      </c>
      <c r="D28" s="8" t="s">
        <v>258</v>
      </c>
      <c r="E28" s="8" t="s">
        <v>259</v>
      </c>
      <c r="F28" s="8" t="s">
        <v>260</v>
      </c>
      <c r="G28" s="7" t="s">
        <v>188</v>
      </c>
      <c r="H28" s="14" t="n">
        <v>0.75</v>
      </c>
      <c r="I28" s="8" t="s">
        <v>151</v>
      </c>
      <c r="J28" s="28" t="s">
        <v>261</v>
      </c>
      <c r="K28" s="7" t="s">
        <v>198</v>
      </c>
      <c r="L28" s="28" t="s">
        <v>262</v>
      </c>
    </row>
    <row r="29" customFormat="false" ht="25.5" hidden="false" customHeight="true" outlineLevel="0" collapsed="false">
      <c r="A29" s="10" t="s">
        <v>86</v>
      </c>
      <c r="B29" s="29" t="s">
        <v>263</v>
      </c>
      <c r="C29" s="10" t="s">
        <v>264</v>
      </c>
      <c r="D29" s="10" t="s">
        <v>265</v>
      </c>
      <c r="E29" s="10" t="s">
        <v>266</v>
      </c>
      <c r="F29" s="10" t="s">
        <v>260</v>
      </c>
      <c r="G29" s="9" t="s">
        <v>198</v>
      </c>
      <c r="H29" s="20" t="n">
        <v>0.4</v>
      </c>
      <c r="I29" s="10" t="s">
        <v>158</v>
      </c>
      <c r="J29" s="29" t="s">
        <v>267</v>
      </c>
      <c r="K29" s="9" t="s">
        <v>198</v>
      </c>
      <c r="L29" s="29" t="s">
        <v>268</v>
      </c>
    </row>
    <row r="30" customFormat="false" ht="25.5" hidden="false" customHeight="true" outlineLevel="0" collapsed="false">
      <c r="A30" s="8" t="s">
        <v>91</v>
      </c>
      <c r="B30" s="28" t="s">
        <v>269</v>
      </c>
      <c r="C30" s="8" t="s">
        <v>270</v>
      </c>
      <c r="D30" s="8" t="s">
        <v>271</v>
      </c>
      <c r="E30" s="8" t="s">
        <v>272</v>
      </c>
      <c r="F30" s="8" t="s">
        <v>273</v>
      </c>
      <c r="G30" s="7" t="s">
        <v>188</v>
      </c>
      <c r="H30" s="14" t="n">
        <v>0.9</v>
      </c>
      <c r="I30" s="8" t="s">
        <v>274</v>
      </c>
      <c r="J30" s="28" t="s">
        <v>275</v>
      </c>
      <c r="K30" s="7" t="s">
        <v>188</v>
      </c>
      <c r="L30" s="28" t="s">
        <v>276</v>
      </c>
    </row>
    <row r="31" customFormat="false" ht="25.5" hidden="false" customHeight="true" outlineLevel="0" collapsed="false">
      <c r="A31" s="10" t="s">
        <v>91</v>
      </c>
      <c r="B31" s="29" t="s">
        <v>277</v>
      </c>
      <c r="C31" s="10" t="s">
        <v>278</v>
      </c>
      <c r="D31" s="10" t="s">
        <v>154</v>
      </c>
      <c r="E31" s="10" t="s">
        <v>279</v>
      </c>
      <c r="F31" s="10" t="s">
        <v>260</v>
      </c>
      <c r="G31" s="9" t="s">
        <v>188</v>
      </c>
      <c r="H31" s="20" t="n">
        <v>0.6</v>
      </c>
      <c r="I31" s="10" t="s">
        <v>151</v>
      </c>
      <c r="J31" s="29" t="s">
        <v>280</v>
      </c>
      <c r="K31" s="9" t="s">
        <v>198</v>
      </c>
      <c r="L31" s="29" t="s">
        <v>281</v>
      </c>
    </row>
    <row r="32" customFormat="false" ht="25.5" hidden="false" customHeight="true" outlineLevel="0" collapsed="false">
      <c r="A32" s="8" t="s">
        <v>98</v>
      </c>
      <c r="B32" s="28" t="s">
        <v>282</v>
      </c>
      <c r="C32" s="8" t="s">
        <v>283</v>
      </c>
      <c r="D32" s="8" t="s">
        <v>284</v>
      </c>
      <c r="E32" s="8" t="s">
        <v>285</v>
      </c>
      <c r="F32" s="8" t="s">
        <v>260</v>
      </c>
      <c r="G32" s="7" t="s">
        <v>198</v>
      </c>
      <c r="H32" s="14" t="n">
        <v>0.1</v>
      </c>
      <c r="I32" s="8" t="s">
        <v>164</v>
      </c>
      <c r="J32" s="28" t="s">
        <v>286</v>
      </c>
      <c r="K32" s="7" t="s">
        <v>198</v>
      </c>
      <c r="L32" s="28" t="s">
        <v>287</v>
      </c>
    </row>
    <row r="33" customFormat="false" ht="25.5" hidden="false" customHeight="true" outlineLevel="0" collapsed="false">
      <c r="A33" s="10" t="s">
        <v>106</v>
      </c>
      <c r="B33" s="29" t="s">
        <v>288</v>
      </c>
      <c r="C33" s="10" t="s">
        <v>289</v>
      </c>
      <c r="D33" s="10" t="s">
        <v>290</v>
      </c>
      <c r="E33" s="10" t="s">
        <v>272</v>
      </c>
      <c r="F33" s="10" t="s">
        <v>273</v>
      </c>
      <c r="G33" s="9" t="s">
        <v>188</v>
      </c>
      <c r="H33" s="20" t="n">
        <v>0.55</v>
      </c>
      <c r="I33" s="10" t="s">
        <v>151</v>
      </c>
      <c r="J33" s="29" t="s">
        <v>291</v>
      </c>
      <c r="K33" s="9" t="s">
        <v>188</v>
      </c>
      <c r="L33" s="29" t="s">
        <v>292</v>
      </c>
    </row>
  </sheetData>
  <sheetProtection sheet="true" password="8ba0" objects="true" scenarios="true" selectLockedCells="true" selectUnlockedCells="true"/>
  <mergeCells count="5">
    <mergeCell ref="A1:L1"/>
    <mergeCell ref="A2:L2"/>
    <mergeCell ref="A4:L4"/>
    <mergeCell ref="A13:L13"/>
    <mergeCell ref="A26:L26"/>
  </mergeCells>
  <conditionalFormatting sqref="H28:H33">
    <cfRule type="colorScale" priority="2">
      <colorScale>
        <cfvo type="num" val="0"/>
        <cfvo type="num" val="0.5"/>
        <cfvo type="num" val="1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7" min="5" style="0" width="8"/>
    <col collapsed="false" customWidth="true" hidden="false" outlineLevel="0" max="10" min="8" style="0" width="10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20"/>
    <col collapsed="false" customWidth="true" hidden="false" outlineLevel="0" max="15" min="15" style="0" width="16"/>
  </cols>
  <sheetData>
    <row r="1" customFormat="false" ht="36" hidden="false" customHeight="true" outlineLevel="0" collapsed="false">
      <c r="A1" s="1" t="s">
        <v>293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2" t="s">
        <v>294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5" hidden="false" customHeight="false" outlineLevel="0" collapsed="false">
      <c r="A4" s="4" t="s">
        <v>295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customFormat="false" ht="15" hidden="false" customHeight="false" outlineLevel="0" collapsed="false">
      <c r="A5" s="11" t="s">
        <v>296</v>
      </c>
      <c r="B5" s="11" t="s">
        <v>297</v>
      </c>
      <c r="C5" s="11" t="s">
        <v>14</v>
      </c>
      <c r="D5" s="11" t="s">
        <v>298</v>
      </c>
      <c r="E5" s="11" t="s">
        <v>16</v>
      </c>
      <c r="F5" s="11" t="s">
        <v>299</v>
      </c>
      <c r="G5" s="11" t="s">
        <v>300</v>
      </c>
      <c r="H5" s="11" t="s">
        <v>301</v>
      </c>
      <c r="I5" s="11" t="s">
        <v>17</v>
      </c>
      <c r="J5" s="30"/>
      <c r="K5" s="30"/>
      <c r="L5" s="30"/>
      <c r="M5" s="30"/>
      <c r="N5" s="30"/>
      <c r="O5" s="30"/>
    </row>
    <row r="6" customFormat="false" ht="19.5" hidden="false" customHeight="true" outlineLevel="0" collapsed="false">
      <c r="A6" s="8" t="s">
        <v>302</v>
      </c>
      <c r="B6" s="8" t="s">
        <v>303</v>
      </c>
      <c r="C6" s="8" t="s">
        <v>39</v>
      </c>
      <c r="D6" s="28" t="s">
        <v>304</v>
      </c>
      <c r="E6" s="8" t="s">
        <v>54</v>
      </c>
      <c r="F6" s="8" t="s">
        <v>305</v>
      </c>
      <c r="G6" s="8" t="s">
        <v>306</v>
      </c>
      <c r="H6" s="8" t="s">
        <v>307</v>
      </c>
      <c r="I6" s="28" t="s">
        <v>308</v>
      </c>
      <c r="J6" s="3"/>
      <c r="K6" s="3"/>
      <c r="L6" s="3"/>
      <c r="M6" s="3"/>
      <c r="N6" s="3"/>
      <c r="O6" s="3"/>
    </row>
    <row r="7" customFormat="false" ht="19.5" hidden="false" customHeight="true" outlineLevel="0" collapsed="false">
      <c r="A7" s="10" t="s">
        <v>309</v>
      </c>
      <c r="B7" s="10" t="s">
        <v>310</v>
      </c>
      <c r="C7" s="10" t="s">
        <v>52</v>
      </c>
      <c r="D7" s="29" t="s">
        <v>311</v>
      </c>
      <c r="E7" s="10" t="s">
        <v>54</v>
      </c>
      <c r="F7" s="10" t="s">
        <v>312</v>
      </c>
      <c r="G7" s="10" t="s">
        <v>313</v>
      </c>
      <c r="H7" s="10" t="s">
        <v>314</v>
      </c>
      <c r="I7" s="29" t="s">
        <v>315</v>
      </c>
      <c r="J7" s="3"/>
      <c r="K7" s="3"/>
      <c r="L7" s="3"/>
      <c r="M7" s="3"/>
      <c r="N7" s="3"/>
      <c r="O7" s="3"/>
    </row>
    <row r="8" customFormat="false" ht="19.5" hidden="false" customHeight="true" outlineLevel="0" collapsed="false">
      <c r="A8" s="8" t="s">
        <v>316</v>
      </c>
      <c r="B8" s="8" t="s">
        <v>317</v>
      </c>
      <c r="C8" s="8" t="s">
        <v>52</v>
      </c>
      <c r="D8" s="28" t="s">
        <v>318</v>
      </c>
      <c r="E8" s="8" t="s">
        <v>41</v>
      </c>
      <c r="F8" s="8" t="s">
        <v>319</v>
      </c>
      <c r="G8" s="8" t="s">
        <v>320</v>
      </c>
      <c r="H8" s="8" t="s">
        <v>321</v>
      </c>
      <c r="I8" s="28" t="s">
        <v>322</v>
      </c>
      <c r="J8" s="3"/>
      <c r="K8" s="3"/>
      <c r="L8" s="3"/>
      <c r="M8" s="3"/>
      <c r="N8" s="3"/>
      <c r="O8" s="3"/>
    </row>
    <row r="9" customFormat="false" ht="19.5" hidden="false" customHeight="true" outlineLevel="0" collapsed="false">
      <c r="A9" s="10" t="s">
        <v>323</v>
      </c>
      <c r="B9" s="10" t="s">
        <v>324</v>
      </c>
      <c r="C9" s="10" t="s">
        <v>65</v>
      </c>
      <c r="D9" s="29" t="s">
        <v>325</v>
      </c>
      <c r="E9" s="10" t="s">
        <v>54</v>
      </c>
      <c r="F9" s="10" t="s">
        <v>326</v>
      </c>
      <c r="G9" s="10" t="s">
        <v>327</v>
      </c>
      <c r="H9" s="10" t="s">
        <v>328</v>
      </c>
      <c r="I9" s="29" t="s">
        <v>329</v>
      </c>
      <c r="J9" s="3"/>
      <c r="K9" s="3"/>
      <c r="L9" s="3"/>
      <c r="M9" s="3"/>
      <c r="N9" s="3"/>
      <c r="O9" s="3"/>
    </row>
    <row r="10" customFormat="false" ht="19.5" hidden="false" customHeight="true" outlineLevel="0" collapsed="false">
      <c r="A10" s="8" t="s">
        <v>330</v>
      </c>
      <c r="B10" s="8" t="s">
        <v>331</v>
      </c>
      <c r="C10" s="8" t="s">
        <v>69</v>
      </c>
      <c r="D10" s="28" t="s">
        <v>332</v>
      </c>
      <c r="E10" s="8" t="s">
        <v>333</v>
      </c>
      <c r="F10" s="8" t="s">
        <v>334</v>
      </c>
      <c r="G10" s="8" t="s">
        <v>335</v>
      </c>
      <c r="H10" s="8" t="s">
        <v>336</v>
      </c>
      <c r="I10" s="28" t="s">
        <v>337</v>
      </c>
      <c r="J10" s="3"/>
      <c r="K10" s="3"/>
      <c r="L10" s="3"/>
      <c r="M10" s="3"/>
      <c r="N10" s="3"/>
      <c r="O10" s="3"/>
    </row>
    <row r="11" customFormat="false" ht="19.5" hidden="false" customHeight="true" outlineLevel="0" collapsed="false">
      <c r="A11" s="10" t="s">
        <v>338</v>
      </c>
      <c r="B11" s="10" t="s">
        <v>324</v>
      </c>
      <c r="C11" s="10" t="s">
        <v>69</v>
      </c>
      <c r="D11" s="29" t="s">
        <v>339</v>
      </c>
      <c r="E11" s="10" t="s">
        <v>29</v>
      </c>
      <c r="F11" s="10" t="s">
        <v>326</v>
      </c>
      <c r="G11" s="10" t="s">
        <v>340</v>
      </c>
      <c r="H11" s="10" t="s">
        <v>341</v>
      </c>
      <c r="I11" s="29" t="s">
        <v>342</v>
      </c>
      <c r="J11" s="3"/>
      <c r="K11" s="3"/>
      <c r="L11" s="3"/>
      <c r="M11" s="3"/>
      <c r="N11" s="3"/>
      <c r="O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customFormat="false" ht="15" hidden="false" customHeight="false" outlineLevel="0" collapsed="false">
      <c r="A14" s="4" t="s">
        <v>343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customFormat="false" ht="15" hidden="false" customHeight="false" outlineLevel="0" collapsed="false">
      <c r="A15" s="11" t="s">
        <v>344</v>
      </c>
      <c r="B15" s="11" t="s">
        <v>345</v>
      </c>
      <c r="C15" s="11" t="s">
        <v>346</v>
      </c>
      <c r="D15" s="11" t="s">
        <v>75</v>
      </c>
      <c r="E15" s="11" t="s">
        <v>347</v>
      </c>
      <c r="F15" s="11" t="s">
        <v>348</v>
      </c>
      <c r="G15" s="11" t="s">
        <v>77</v>
      </c>
      <c r="H15" s="11" t="s">
        <v>349</v>
      </c>
      <c r="I15" s="11" t="s">
        <v>350</v>
      </c>
      <c r="J15" s="11" t="s">
        <v>351</v>
      </c>
      <c r="K15" s="11" t="s">
        <v>352</v>
      </c>
      <c r="L15" s="11" t="s">
        <v>6</v>
      </c>
      <c r="M15" s="11" t="s">
        <v>83</v>
      </c>
      <c r="N15" s="11" t="s">
        <v>353</v>
      </c>
      <c r="O15" s="11" t="s">
        <v>354</v>
      </c>
    </row>
    <row r="16" customFormat="false" ht="21.75" hidden="false" customHeight="true" outlineLevel="0" collapsed="false">
      <c r="A16" s="12" t="s">
        <v>355</v>
      </c>
      <c r="B16" s="7" t="s">
        <v>223</v>
      </c>
      <c r="C16" s="7" t="n">
        <v>10</v>
      </c>
      <c r="D16" s="13" t="n">
        <v>8030</v>
      </c>
      <c r="E16" s="14" t="n">
        <v>1.09</v>
      </c>
      <c r="F16" s="14" t="n">
        <v>0.98</v>
      </c>
      <c r="G16" s="15" t="n">
        <v>4.8</v>
      </c>
      <c r="H16" s="14" t="n">
        <v>1</v>
      </c>
      <c r="I16" s="31" t="n">
        <v>38</v>
      </c>
      <c r="J16" s="14" t="n">
        <v>0.97</v>
      </c>
      <c r="K16" s="16" t="n">
        <f aca="false">(E16/1.05)*0.25 + (F16/0.95)*0.2 + (G16/4.5)*0.2 + H16*0.15 + ((45/MAX(I16,1))*0.1) + J16*0.1</f>
        <v>1.04459398496241</v>
      </c>
      <c r="L16" s="17" t="str">
        <f aca="false">IF(K16&gt;=1.05,"⭐ Exceeds",IF(K16&gt;=0.95,"✅ Meets",IF(K16&gt;=0.85,"⚠ Below","🔴 PIP")))</f>
        <v>✅ Meets</v>
      </c>
      <c r="M16" s="7" t="s">
        <v>356</v>
      </c>
      <c r="N16" s="8" t="s">
        <v>357</v>
      </c>
      <c r="O16" s="7" t="s">
        <v>358</v>
      </c>
    </row>
    <row r="17" customFormat="false" ht="21.75" hidden="false" customHeight="true" outlineLevel="0" collapsed="false">
      <c r="A17" s="18" t="s">
        <v>99</v>
      </c>
      <c r="B17" s="9" t="s">
        <v>359</v>
      </c>
      <c r="C17" s="9" t="n">
        <v>8</v>
      </c>
      <c r="D17" s="19" t="n">
        <v>3400</v>
      </c>
      <c r="E17" s="20" t="n">
        <v>1.03</v>
      </c>
      <c r="F17" s="20" t="n">
        <v>0.94</v>
      </c>
      <c r="G17" s="21" t="n">
        <v>4.4</v>
      </c>
      <c r="H17" s="20" t="n">
        <v>0.88</v>
      </c>
      <c r="I17" s="32" t="n">
        <v>44</v>
      </c>
      <c r="J17" s="20" t="n">
        <v>0.91</v>
      </c>
      <c r="K17" s="22" t="n">
        <f aca="false">(E17/1.05)*0.25 + (F17/0.95)*0.2 + (G17/4.5)*0.2 + H17*0.15 + ((45/MAX(I17,1))*0.1) + J17*0.1</f>
        <v>0.963961114908483</v>
      </c>
      <c r="L17" s="23" t="str">
        <f aca="false">IF(K17&gt;=1.05,"⭐ Exceeds",IF(K17&gt;=0.95,"✅ Meets",IF(K17&gt;=0.85,"⚠ Below","🔴 PIP")))</f>
        <v>✅ Meets</v>
      </c>
      <c r="M17" s="9" t="s">
        <v>360</v>
      </c>
      <c r="N17" s="10" t="s">
        <v>361</v>
      </c>
      <c r="O17" s="9" t="s">
        <v>362</v>
      </c>
    </row>
    <row r="18" customFormat="false" ht="21.75" hidden="false" customHeight="true" outlineLevel="0" collapsed="false">
      <c r="A18" s="12" t="s">
        <v>107</v>
      </c>
      <c r="B18" s="7" t="s">
        <v>363</v>
      </c>
      <c r="C18" s="7" t="n">
        <v>7</v>
      </c>
      <c r="D18" s="13" t="n">
        <v>1015</v>
      </c>
      <c r="E18" s="14" t="n">
        <v>1.06</v>
      </c>
      <c r="F18" s="14" t="n">
        <v>0.96</v>
      </c>
      <c r="G18" s="15" t="n">
        <v>4.7</v>
      </c>
      <c r="H18" s="14" t="n">
        <v>0.95</v>
      </c>
      <c r="I18" s="31" t="n">
        <v>42</v>
      </c>
      <c r="J18" s="14" t="n">
        <v>0.93</v>
      </c>
      <c r="K18" s="16" t="n">
        <f aca="false">(E18/1.05)*0.25 + (F18/0.95)*0.2 + (G18/4.5)*0.2 + H18*0.15 + ((45/MAX(I18,1))*0.1) + J18*0.1</f>
        <v>1.00601796157059</v>
      </c>
      <c r="L18" s="17" t="str">
        <f aca="false">IF(K18&gt;=1.05,"⭐ Exceeds",IF(K18&gt;=0.95,"✅ Meets",IF(K18&gt;=0.85,"⚠ Below","🔴 PIP")))</f>
        <v>✅ Meets</v>
      </c>
      <c r="M18" s="7" t="s">
        <v>356</v>
      </c>
      <c r="N18" s="8" t="s">
        <v>364</v>
      </c>
      <c r="O18" s="7" t="s">
        <v>365</v>
      </c>
    </row>
    <row r="19" customFormat="false" ht="21.75" hidden="false" customHeight="true" outlineLevel="0" collapsed="false">
      <c r="A19" s="18" t="s">
        <v>117</v>
      </c>
      <c r="B19" s="9" t="s">
        <v>366</v>
      </c>
      <c r="C19" s="9" t="n">
        <v>5</v>
      </c>
      <c r="D19" s="19" t="n">
        <v>260</v>
      </c>
      <c r="E19" s="20" t="n">
        <v>0.98</v>
      </c>
      <c r="F19" s="20" t="n">
        <v>0.91</v>
      </c>
      <c r="G19" s="21" t="n">
        <v>4.2</v>
      </c>
      <c r="H19" s="20" t="n">
        <v>0.8</v>
      </c>
      <c r="I19" s="32" t="n">
        <v>52</v>
      </c>
      <c r="J19" s="20" t="n">
        <v>0.85</v>
      </c>
      <c r="K19" s="22" t="n">
        <f aca="false">(E19/1.05)*0.25 + (F19/0.95)*0.2 + (G19/4.5)*0.2 + H19*0.15 + ((45/MAX(I19,1))*0.1) + J19*0.1</f>
        <v>0.903117408906883</v>
      </c>
      <c r="L19" s="23" t="str">
        <f aca="false">IF(K19&gt;=1.05,"⭐ Exceeds",IF(K19&gt;=0.95,"✅ Meets",IF(K19&gt;=0.85,"⚠ Below","🔴 PIP")))</f>
        <v>⚠ Below</v>
      </c>
      <c r="M19" s="9" t="s">
        <v>367</v>
      </c>
      <c r="N19" s="10" t="s">
        <v>368</v>
      </c>
      <c r="O19" s="9" t="s">
        <v>369</v>
      </c>
    </row>
    <row r="20" customFormat="false" ht="21.75" hidden="false" customHeight="true" outlineLevel="0" collapsed="false">
      <c r="A20" s="12" t="s">
        <v>370</v>
      </c>
      <c r="B20" s="7" t="s">
        <v>371</v>
      </c>
      <c r="C20" s="7" t="n">
        <v>4</v>
      </c>
      <c r="D20" s="13" t="n">
        <v>130</v>
      </c>
      <c r="E20" s="14" t="n">
        <v>0.95</v>
      </c>
      <c r="F20" s="14" t="n">
        <v>0.89</v>
      </c>
      <c r="G20" s="15" t="n">
        <v>4</v>
      </c>
      <c r="H20" s="14" t="n">
        <v>0.75</v>
      </c>
      <c r="I20" s="31" t="n">
        <v>58</v>
      </c>
      <c r="J20" s="14" t="n">
        <v>0.82</v>
      </c>
      <c r="K20" s="16" t="n">
        <f aca="false">(E20/1.05)*0.25 + (F20/0.95)*0.2 + (G20/4.5)*0.2 + H20*0.15 + ((45/MAX(I20,1))*0.1) + J20*0.1</f>
        <v>0.863422881917437</v>
      </c>
      <c r="L20" s="17" t="str">
        <f aca="false">IF(K20&gt;=1.05,"⭐ Exceeds",IF(K20&gt;=0.95,"✅ Meets",IF(K20&gt;=0.85,"⚠ Below","🔴 PIP")))</f>
        <v>⚠ Below</v>
      </c>
      <c r="M20" s="7" t="s">
        <v>367</v>
      </c>
      <c r="N20" s="8" t="s">
        <v>372</v>
      </c>
      <c r="O20" s="7" t="s">
        <v>373</v>
      </c>
    </row>
    <row r="21" customFormat="false" ht="21.75" hidden="false" customHeight="true" outlineLevel="0" collapsed="false">
      <c r="A21" s="24" t="s">
        <v>374</v>
      </c>
      <c r="B21" s="25"/>
      <c r="C21" s="25"/>
      <c r="D21" s="33" t="n">
        <f aca="false">SUM(D16:D20)</f>
        <v>12835</v>
      </c>
      <c r="E21" s="34" t="n">
        <f aca="false">AVERAGE(E16:E20)</f>
        <v>1.022</v>
      </c>
      <c r="F21" s="34" t="n">
        <f aca="false">AVERAGE(F16:F20)</f>
        <v>0.936</v>
      </c>
      <c r="G21" s="35" t="n">
        <f aca="false">AVERAGE(G16:G20)</f>
        <v>4.42</v>
      </c>
      <c r="H21" s="34" t="n">
        <f aca="false">AVERAGE(H16:H20)</f>
        <v>0.876</v>
      </c>
      <c r="I21" s="36" t="n">
        <f aca="false">AVERAGE(I16:I20)</f>
        <v>46.8</v>
      </c>
      <c r="J21" s="34" t="n">
        <f aca="false">AVERAGE(J16:J20)</f>
        <v>0.896</v>
      </c>
      <c r="K21" s="34" t="n">
        <f aca="false">AVERAGE(K16:K20)</f>
        <v>0.956222670453161</v>
      </c>
      <c r="L21" s="25"/>
      <c r="M21" s="25"/>
      <c r="N21" s="25"/>
      <c r="O21" s="25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customFormat="false" ht="15" hidden="false" customHeight="false" outlineLevel="0" collapsed="false">
      <c r="A24" s="4" t="s">
        <v>375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customFormat="false" ht="15" hidden="false" customHeight="false" outlineLevel="0" collapsed="false">
      <c r="A25" s="11" t="s">
        <v>21</v>
      </c>
      <c r="B25" s="11" t="s">
        <v>376</v>
      </c>
      <c r="C25" s="11" t="s">
        <v>377</v>
      </c>
      <c r="D25" s="11" t="s">
        <v>378</v>
      </c>
      <c r="E25" s="11" t="s">
        <v>379</v>
      </c>
      <c r="F25" s="11" t="s">
        <v>380</v>
      </c>
      <c r="G25" s="11" t="s">
        <v>8</v>
      </c>
      <c r="H25" s="11" t="s">
        <v>249</v>
      </c>
      <c r="I25" s="11" t="s">
        <v>381</v>
      </c>
      <c r="J25" s="11" t="s">
        <v>382</v>
      </c>
      <c r="K25" s="11" t="s">
        <v>383</v>
      </c>
      <c r="L25" s="11" t="s">
        <v>136</v>
      </c>
      <c r="M25" s="3"/>
      <c r="N25" s="3"/>
      <c r="O25" s="3"/>
    </row>
    <row r="26" customFormat="false" ht="31.5" hidden="false" customHeight="true" outlineLevel="0" collapsed="false">
      <c r="A26" s="8" t="s">
        <v>99</v>
      </c>
      <c r="B26" s="8" t="s">
        <v>384</v>
      </c>
      <c r="C26" s="8" t="s">
        <v>385</v>
      </c>
      <c r="D26" s="8" t="s">
        <v>386</v>
      </c>
      <c r="E26" s="28" t="s">
        <v>387</v>
      </c>
      <c r="F26" s="28" t="s">
        <v>388</v>
      </c>
      <c r="G26" s="8" t="s">
        <v>99</v>
      </c>
      <c r="H26" s="8" t="s">
        <v>369</v>
      </c>
      <c r="I26" s="8" t="s">
        <v>389</v>
      </c>
      <c r="J26" s="8" t="s">
        <v>390</v>
      </c>
      <c r="K26" s="28" t="s">
        <v>391</v>
      </c>
      <c r="L26" s="8" t="s">
        <v>260</v>
      </c>
      <c r="M26" s="3"/>
      <c r="N26" s="3"/>
      <c r="O26" s="3"/>
    </row>
    <row r="27" customFormat="false" ht="31.5" hidden="false" customHeight="true" outlineLevel="0" collapsed="false">
      <c r="A27" s="10" t="s">
        <v>117</v>
      </c>
      <c r="B27" s="10" t="s">
        <v>118</v>
      </c>
      <c r="C27" s="10" t="s">
        <v>392</v>
      </c>
      <c r="D27" s="10" t="s">
        <v>393</v>
      </c>
      <c r="E27" s="29" t="s">
        <v>394</v>
      </c>
      <c r="F27" s="29" t="s">
        <v>395</v>
      </c>
      <c r="G27" s="10" t="s">
        <v>117</v>
      </c>
      <c r="H27" s="10" t="s">
        <v>396</v>
      </c>
      <c r="I27" s="10" t="s">
        <v>397</v>
      </c>
      <c r="J27" s="10" t="s">
        <v>398</v>
      </c>
      <c r="K27" s="29" t="s">
        <v>399</v>
      </c>
      <c r="L27" s="10" t="s">
        <v>260</v>
      </c>
      <c r="M27" s="3"/>
      <c r="N27" s="3"/>
      <c r="O27" s="3"/>
    </row>
    <row r="28" customFormat="false" ht="31.5" hidden="false" customHeight="true" outlineLevel="0" collapsed="false">
      <c r="A28" s="8" t="s">
        <v>370</v>
      </c>
      <c r="B28" s="8" t="s">
        <v>400</v>
      </c>
      <c r="C28" s="8" t="s">
        <v>401</v>
      </c>
      <c r="D28" s="8" t="s">
        <v>402</v>
      </c>
      <c r="E28" s="28" t="s">
        <v>403</v>
      </c>
      <c r="F28" s="28" t="s">
        <v>404</v>
      </c>
      <c r="G28" s="8" t="s">
        <v>370</v>
      </c>
      <c r="H28" s="8" t="s">
        <v>271</v>
      </c>
      <c r="I28" s="8" t="s">
        <v>405</v>
      </c>
      <c r="J28" s="8" t="s">
        <v>406</v>
      </c>
      <c r="K28" s="28" t="s">
        <v>407</v>
      </c>
      <c r="L28" s="8" t="s">
        <v>260</v>
      </c>
      <c r="M28" s="3"/>
      <c r="N28" s="3"/>
      <c r="O28" s="3"/>
    </row>
    <row r="29" customFormat="false" ht="31.5" hidden="false" customHeight="true" outlineLevel="0" collapsed="false">
      <c r="A29" s="10" t="s">
        <v>107</v>
      </c>
      <c r="B29" s="10" t="s">
        <v>408</v>
      </c>
      <c r="C29" s="10" t="s">
        <v>409</v>
      </c>
      <c r="D29" s="10" t="s">
        <v>364</v>
      </c>
      <c r="E29" s="29" t="s">
        <v>410</v>
      </c>
      <c r="F29" s="29" t="s">
        <v>411</v>
      </c>
      <c r="G29" s="10" t="s">
        <v>107</v>
      </c>
      <c r="H29" s="10" t="s">
        <v>258</v>
      </c>
      <c r="I29" s="10" t="s">
        <v>265</v>
      </c>
      <c r="J29" s="10" t="s">
        <v>398</v>
      </c>
      <c r="K29" s="29" t="s">
        <v>412</v>
      </c>
      <c r="L29" s="10" t="s">
        <v>273</v>
      </c>
      <c r="M29" s="3"/>
      <c r="N29" s="3"/>
      <c r="O29" s="3"/>
    </row>
  </sheetData>
  <sheetProtection sheet="true" password="8ba0" objects="true" scenarios="true" selectLockedCells="true" selectUnlockedCells="true"/>
  <mergeCells count="6">
    <mergeCell ref="A1:O1"/>
    <mergeCell ref="A2:O2"/>
    <mergeCell ref="A4:O4"/>
    <mergeCell ref="J5:O5"/>
    <mergeCell ref="A14:O14"/>
    <mergeCell ref="A24:O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24" topLeftCell="A2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7" min="5" style="0" width="3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28"/>
    <col collapsed="false" customWidth="true" hidden="false" outlineLevel="0" max="13" min="11" style="0" width="10"/>
    <col collapsed="false" customWidth="true" hidden="false" outlineLevel="0" max="14" min="14" style="0" width="22"/>
  </cols>
  <sheetData>
    <row r="1" customFormat="false" ht="36" hidden="false" customHeight="true" outlineLevel="0" collapsed="false">
      <c r="A1" s="1" t="s">
        <v>413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414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false" outlineLevel="0" collapsed="false">
      <c r="A4" s="4" t="s">
        <v>415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8" hidden="false" customHeight="true" outlineLevel="0" collapsed="false">
      <c r="A5" s="37" t="s">
        <v>416</v>
      </c>
      <c r="B5" s="37"/>
      <c r="C5" s="37"/>
      <c r="D5" s="37"/>
      <c r="E5" s="37"/>
      <c r="F5" s="37"/>
      <c r="G5" s="37"/>
      <c r="H5" s="3"/>
      <c r="I5" s="3"/>
      <c r="J5" s="3"/>
      <c r="K5" s="3"/>
      <c r="L5" s="3"/>
      <c r="M5" s="3"/>
      <c r="N5" s="3"/>
    </row>
    <row r="6" customFormat="false" ht="15" hidden="false" customHeight="false" outlineLevel="0" collapsed="false">
      <c r="A6" s="38" t="s">
        <v>13</v>
      </c>
      <c r="B6" s="38" t="s">
        <v>417</v>
      </c>
      <c r="C6" s="38" t="s">
        <v>14</v>
      </c>
      <c r="D6" s="38" t="s">
        <v>418</v>
      </c>
      <c r="E6" s="38" t="s">
        <v>419</v>
      </c>
      <c r="F6" s="38" t="s">
        <v>420</v>
      </c>
      <c r="G6" s="38" t="s">
        <v>421</v>
      </c>
      <c r="H6" s="3"/>
      <c r="I6" s="3"/>
      <c r="J6" s="3"/>
      <c r="K6" s="3"/>
      <c r="L6" s="3"/>
      <c r="M6" s="3"/>
      <c r="N6" s="3"/>
    </row>
    <row r="7" customFormat="false" ht="19.5" hidden="false" customHeight="true" outlineLevel="0" collapsed="false">
      <c r="A7" s="39" t="s">
        <v>422</v>
      </c>
      <c r="B7" s="40" t="s">
        <v>423</v>
      </c>
      <c r="C7" s="40" t="s">
        <v>424</v>
      </c>
      <c r="D7" s="40" t="s">
        <v>425</v>
      </c>
      <c r="E7" s="40" t="s">
        <v>426</v>
      </c>
      <c r="F7" s="40" t="s">
        <v>427</v>
      </c>
      <c r="G7" s="40" t="s">
        <v>428</v>
      </c>
      <c r="H7" s="3"/>
      <c r="I7" s="3"/>
      <c r="J7" s="3"/>
      <c r="K7" s="3"/>
      <c r="L7" s="3"/>
      <c r="M7" s="3"/>
      <c r="N7" s="3"/>
    </row>
    <row r="8" customFormat="false" ht="19.5" hidden="false" customHeight="true" outlineLevel="0" collapsed="false">
      <c r="A8" s="41" t="s">
        <v>429</v>
      </c>
      <c r="B8" s="10" t="s">
        <v>430</v>
      </c>
      <c r="C8" s="10" t="s">
        <v>39</v>
      </c>
      <c r="D8" s="10" t="s">
        <v>431</v>
      </c>
      <c r="E8" s="10" t="s">
        <v>432</v>
      </c>
      <c r="F8" s="10" t="s">
        <v>21</v>
      </c>
      <c r="G8" s="10" t="s">
        <v>433</v>
      </c>
      <c r="H8" s="3"/>
      <c r="I8" s="3"/>
      <c r="J8" s="3"/>
      <c r="K8" s="3"/>
      <c r="L8" s="3"/>
      <c r="M8" s="3"/>
      <c r="N8" s="3"/>
    </row>
    <row r="9" customFormat="false" ht="19.5" hidden="false" customHeight="true" outlineLevel="0" collapsed="false">
      <c r="A9" s="39" t="s">
        <v>434</v>
      </c>
      <c r="B9" s="40" t="s">
        <v>435</v>
      </c>
      <c r="C9" s="40" t="s">
        <v>52</v>
      </c>
      <c r="D9" s="40" t="s">
        <v>436</v>
      </c>
      <c r="E9" s="40" t="s">
        <v>437</v>
      </c>
      <c r="F9" s="40" t="s">
        <v>427</v>
      </c>
      <c r="G9" s="40" t="s">
        <v>438</v>
      </c>
      <c r="H9" s="3"/>
      <c r="I9" s="3"/>
      <c r="J9" s="3"/>
      <c r="K9" s="3"/>
      <c r="L9" s="3"/>
      <c r="M9" s="3"/>
      <c r="N9" s="3"/>
    </row>
    <row r="10" customFormat="false" ht="19.5" hidden="false" customHeight="true" outlineLevel="0" collapsed="false">
      <c r="A10" s="41" t="s">
        <v>439</v>
      </c>
      <c r="B10" s="10" t="s">
        <v>440</v>
      </c>
      <c r="C10" s="10" t="s">
        <v>65</v>
      </c>
      <c r="D10" s="10" t="s">
        <v>441</v>
      </c>
      <c r="E10" s="10" t="s">
        <v>442</v>
      </c>
      <c r="F10" s="10" t="s">
        <v>223</v>
      </c>
      <c r="G10" s="10" t="s">
        <v>443</v>
      </c>
      <c r="H10" s="3"/>
      <c r="I10" s="3"/>
      <c r="J10" s="3"/>
      <c r="K10" s="3"/>
      <c r="L10" s="3"/>
      <c r="M10" s="3"/>
      <c r="N10" s="3"/>
    </row>
    <row r="11" customFormat="false" ht="19.5" hidden="false" customHeight="true" outlineLevel="0" collapsed="false">
      <c r="A11" s="39" t="s">
        <v>444</v>
      </c>
      <c r="B11" s="40" t="s">
        <v>445</v>
      </c>
      <c r="C11" s="40" t="s">
        <v>446</v>
      </c>
      <c r="D11" s="40" t="s">
        <v>447</v>
      </c>
      <c r="E11" s="40" t="s">
        <v>448</v>
      </c>
      <c r="F11" s="40" t="s">
        <v>449</v>
      </c>
      <c r="G11" s="40" t="s">
        <v>443</v>
      </c>
      <c r="H11" s="3"/>
      <c r="I11" s="3"/>
      <c r="J11" s="3"/>
      <c r="K11" s="3"/>
      <c r="L11" s="3"/>
      <c r="M11" s="3"/>
      <c r="N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customFormat="false" ht="18" hidden="false" customHeight="true" outlineLevel="0" collapsed="false">
      <c r="A14" s="42" t="s">
        <v>450</v>
      </c>
      <c r="B14" s="42"/>
      <c r="C14" s="42"/>
      <c r="D14" s="42"/>
      <c r="E14" s="42"/>
      <c r="F14" s="42"/>
      <c r="G14" s="42"/>
      <c r="H14" s="3"/>
      <c r="I14" s="3"/>
      <c r="J14" s="3"/>
      <c r="K14" s="3"/>
      <c r="L14" s="3"/>
      <c r="M14" s="3"/>
      <c r="N14" s="3"/>
    </row>
    <row r="15" customFormat="false" ht="15" hidden="false" customHeight="false" outlineLevel="0" collapsed="false">
      <c r="A15" s="11" t="s">
        <v>451</v>
      </c>
      <c r="B15" s="11" t="s">
        <v>15</v>
      </c>
      <c r="C15" s="11" t="s">
        <v>14</v>
      </c>
      <c r="D15" s="11" t="s">
        <v>418</v>
      </c>
      <c r="E15" s="11" t="s">
        <v>452</v>
      </c>
      <c r="F15" s="11" t="s">
        <v>419</v>
      </c>
      <c r="G15" s="11" t="s">
        <v>421</v>
      </c>
      <c r="H15" s="3"/>
      <c r="I15" s="3"/>
      <c r="J15" s="3"/>
      <c r="K15" s="3"/>
      <c r="L15" s="3"/>
      <c r="M15" s="3"/>
      <c r="N15" s="3"/>
    </row>
    <row r="16" customFormat="false" ht="19.5" hidden="false" customHeight="true" outlineLevel="0" collapsed="false">
      <c r="A16" s="43" t="s">
        <v>453</v>
      </c>
      <c r="B16" s="44" t="s">
        <v>28</v>
      </c>
      <c r="C16" s="44" t="s">
        <v>27</v>
      </c>
      <c r="D16" s="44" t="s">
        <v>454</v>
      </c>
      <c r="E16" s="44" t="s">
        <v>455</v>
      </c>
      <c r="F16" s="44" t="s">
        <v>456</v>
      </c>
      <c r="G16" s="44" t="s">
        <v>457</v>
      </c>
      <c r="H16" s="3"/>
      <c r="I16" s="3"/>
      <c r="J16" s="3"/>
      <c r="K16" s="3"/>
      <c r="L16" s="3"/>
      <c r="M16" s="3"/>
      <c r="N16" s="3"/>
    </row>
    <row r="17" customFormat="false" ht="19.5" hidden="false" customHeight="true" outlineLevel="0" collapsed="false">
      <c r="A17" s="45" t="s">
        <v>458</v>
      </c>
      <c r="B17" s="10" t="s">
        <v>459</v>
      </c>
      <c r="C17" s="10" t="s">
        <v>39</v>
      </c>
      <c r="D17" s="10" t="s">
        <v>460</v>
      </c>
      <c r="E17" s="10" t="s">
        <v>461</v>
      </c>
      <c r="F17" s="10" t="s">
        <v>462</v>
      </c>
      <c r="G17" s="10" t="s">
        <v>463</v>
      </c>
      <c r="H17" s="3"/>
      <c r="I17" s="3"/>
      <c r="J17" s="3"/>
      <c r="K17" s="3"/>
      <c r="L17" s="3"/>
      <c r="M17" s="3"/>
      <c r="N17" s="3"/>
    </row>
    <row r="18" customFormat="false" ht="19.5" hidden="false" customHeight="true" outlineLevel="0" collapsed="false">
      <c r="A18" s="43" t="s">
        <v>464</v>
      </c>
      <c r="B18" s="44" t="s">
        <v>465</v>
      </c>
      <c r="C18" s="44" t="s">
        <v>52</v>
      </c>
      <c r="D18" s="44" t="s">
        <v>466</v>
      </c>
      <c r="E18" s="44" t="s">
        <v>455</v>
      </c>
      <c r="F18" s="44" t="s">
        <v>467</v>
      </c>
      <c r="G18" s="44" t="s">
        <v>463</v>
      </c>
      <c r="H18" s="3"/>
      <c r="I18" s="3"/>
      <c r="J18" s="3"/>
      <c r="K18" s="3"/>
      <c r="L18" s="3"/>
      <c r="M18" s="3"/>
      <c r="N18" s="3"/>
    </row>
    <row r="19" customFormat="false" ht="19.5" hidden="false" customHeight="true" outlineLevel="0" collapsed="false">
      <c r="A19" s="45" t="s">
        <v>468</v>
      </c>
      <c r="B19" s="10" t="s">
        <v>28</v>
      </c>
      <c r="C19" s="10" t="s">
        <v>65</v>
      </c>
      <c r="D19" s="10" t="s">
        <v>469</v>
      </c>
      <c r="E19" s="10" t="s">
        <v>331</v>
      </c>
      <c r="F19" s="10" t="s">
        <v>470</v>
      </c>
      <c r="G19" s="10" t="s">
        <v>471</v>
      </c>
      <c r="H19" s="3"/>
      <c r="I19" s="3"/>
      <c r="J19" s="3"/>
      <c r="K19" s="3"/>
      <c r="L19" s="3"/>
      <c r="M19" s="3"/>
      <c r="N19" s="3"/>
    </row>
    <row r="20" customFormat="false" ht="19.5" hidden="false" customHeight="true" outlineLevel="0" collapsed="false">
      <c r="A20" s="43" t="s">
        <v>472</v>
      </c>
      <c r="B20" s="44" t="s">
        <v>473</v>
      </c>
      <c r="C20" s="44" t="s">
        <v>69</v>
      </c>
      <c r="D20" s="44" t="s">
        <v>474</v>
      </c>
      <c r="E20" s="44" t="s">
        <v>455</v>
      </c>
      <c r="F20" s="44" t="s">
        <v>475</v>
      </c>
      <c r="G20" s="44" t="s">
        <v>471</v>
      </c>
      <c r="H20" s="3"/>
      <c r="I20" s="3"/>
      <c r="J20" s="3"/>
      <c r="K20" s="3"/>
      <c r="L20" s="3"/>
      <c r="M20" s="3"/>
      <c r="N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customFormat="false" ht="15" hidden="false" customHeight="false" outlineLevel="0" collapsed="false">
      <c r="A23" s="4" t="s">
        <v>476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customFormat="false" ht="15" hidden="false" customHeight="false" outlineLevel="0" collapsed="false">
      <c r="A24" s="11" t="s">
        <v>127</v>
      </c>
      <c r="B24" s="11" t="s">
        <v>75</v>
      </c>
      <c r="C24" s="11" t="s">
        <v>477</v>
      </c>
      <c r="D24" s="11" t="s">
        <v>478</v>
      </c>
      <c r="E24" s="11" t="s">
        <v>479</v>
      </c>
      <c r="F24" s="11" t="s">
        <v>480</v>
      </c>
      <c r="G24" s="11" t="s">
        <v>481</v>
      </c>
      <c r="H24" s="11" t="s">
        <v>482</v>
      </c>
      <c r="I24" s="11" t="s">
        <v>483</v>
      </c>
      <c r="J24" s="11" t="s">
        <v>45</v>
      </c>
      <c r="K24" s="11" t="s">
        <v>484</v>
      </c>
      <c r="L24" s="11" t="s">
        <v>485</v>
      </c>
      <c r="M24" s="11" t="s">
        <v>486</v>
      </c>
      <c r="N24" s="11" t="s">
        <v>180</v>
      </c>
    </row>
    <row r="25" customFormat="false" ht="27.75" hidden="false" customHeight="true" outlineLevel="0" collapsed="false">
      <c r="A25" s="12" t="s">
        <v>103</v>
      </c>
      <c r="B25" s="13" t="n">
        <v>880</v>
      </c>
      <c r="C25" s="8" t="s">
        <v>487</v>
      </c>
      <c r="D25" s="8" t="s">
        <v>488</v>
      </c>
      <c r="E25" s="14" t="n">
        <v>0.78</v>
      </c>
      <c r="F25" s="8" t="s">
        <v>489</v>
      </c>
      <c r="G25" s="8" t="s">
        <v>490</v>
      </c>
      <c r="H25" s="7" t="n">
        <v>237</v>
      </c>
      <c r="I25" s="8" t="s">
        <v>355</v>
      </c>
      <c r="J25" s="28" t="s">
        <v>491</v>
      </c>
      <c r="K25" s="7" t="s">
        <v>390</v>
      </c>
      <c r="L25" s="14" t="s">
        <v>492</v>
      </c>
      <c r="M25" s="13" t="n">
        <f aca="false">C25*(1-L25)</f>
        <v>18372</v>
      </c>
      <c r="N25" s="8" t="s">
        <v>493</v>
      </c>
    </row>
    <row r="26" customFormat="false" ht="27.75" hidden="false" customHeight="true" outlineLevel="0" collapsed="false">
      <c r="A26" s="18" t="s">
        <v>98</v>
      </c>
      <c r="B26" s="19" t="n">
        <v>1200</v>
      </c>
      <c r="C26" s="10" t="s">
        <v>494</v>
      </c>
      <c r="D26" s="10" t="s">
        <v>495</v>
      </c>
      <c r="E26" s="20" t="n">
        <v>0.65</v>
      </c>
      <c r="F26" s="10" t="s">
        <v>496</v>
      </c>
      <c r="G26" s="10" t="s">
        <v>497</v>
      </c>
      <c r="H26" s="9" t="n">
        <v>132</v>
      </c>
      <c r="I26" s="10" t="s">
        <v>355</v>
      </c>
      <c r="J26" s="29" t="s">
        <v>498</v>
      </c>
      <c r="K26" s="9" t="s">
        <v>499</v>
      </c>
      <c r="L26" s="20" t="s">
        <v>500</v>
      </c>
      <c r="M26" s="19" t="n">
        <f aca="false">C26*(1-L26)</f>
        <v>25202.65</v>
      </c>
      <c r="N26" s="10" t="s">
        <v>501</v>
      </c>
    </row>
    <row r="27" customFormat="false" ht="27.75" hidden="false" customHeight="true" outlineLevel="0" collapsed="false">
      <c r="A27" s="12" t="s">
        <v>120</v>
      </c>
      <c r="B27" s="13" t="n">
        <v>120</v>
      </c>
      <c r="C27" s="8" t="s">
        <v>502</v>
      </c>
      <c r="D27" s="8" t="s">
        <v>503</v>
      </c>
      <c r="E27" s="14" t="n">
        <v>0.42</v>
      </c>
      <c r="F27" s="8" t="s">
        <v>504</v>
      </c>
      <c r="G27" s="8" t="s">
        <v>505</v>
      </c>
      <c r="H27" s="7" t="n">
        <v>57</v>
      </c>
      <c r="I27" s="8" t="s">
        <v>117</v>
      </c>
      <c r="J27" s="28" t="s">
        <v>506</v>
      </c>
      <c r="K27" s="7" t="s">
        <v>188</v>
      </c>
      <c r="L27" s="14" t="s">
        <v>27</v>
      </c>
      <c r="M27" s="13" t="n">
        <f aca="false">C27*(1-L27)</f>
        <v>32023.6</v>
      </c>
      <c r="N27" s="8" t="s">
        <v>507</v>
      </c>
    </row>
    <row r="28" customFormat="false" ht="27.75" hidden="false" customHeight="true" outlineLevel="0" collapsed="false">
      <c r="A28" s="18" t="s">
        <v>113</v>
      </c>
      <c r="B28" s="19" t="n">
        <v>285</v>
      </c>
      <c r="C28" s="10" t="s">
        <v>508</v>
      </c>
      <c r="D28" s="10" t="s">
        <v>503</v>
      </c>
      <c r="E28" s="20" t="n">
        <v>0.58</v>
      </c>
      <c r="F28" s="10" t="s">
        <v>509</v>
      </c>
      <c r="G28" s="10" t="s">
        <v>510</v>
      </c>
      <c r="H28" s="9" t="n">
        <v>202</v>
      </c>
      <c r="I28" s="10" t="s">
        <v>107</v>
      </c>
      <c r="J28" s="29" t="s">
        <v>511</v>
      </c>
      <c r="K28" s="9" t="s">
        <v>188</v>
      </c>
      <c r="L28" s="20" t="s">
        <v>512</v>
      </c>
      <c r="M28" s="19" t="n">
        <f aca="false">C28*(1-L28)</f>
        <v>20650.05</v>
      </c>
      <c r="N28" s="10" t="s">
        <v>513</v>
      </c>
    </row>
    <row r="29" customFormat="false" ht="27.75" hidden="false" customHeight="true" outlineLevel="0" collapsed="false">
      <c r="A29" s="12" t="s">
        <v>514</v>
      </c>
      <c r="B29" s="13" t="n">
        <v>180</v>
      </c>
      <c r="C29" s="8" t="s">
        <v>515</v>
      </c>
      <c r="D29" s="8" t="s">
        <v>503</v>
      </c>
      <c r="E29" s="14" t="n">
        <v>0.61</v>
      </c>
      <c r="F29" s="8" t="s">
        <v>504</v>
      </c>
      <c r="G29" s="8" t="s">
        <v>516</v>
      </c>
      <c r="H29" s="7" t="n">
        <v>181</v>
      </c>
      <c r="I29" s="8" t="s">
        <v>99</v>
      </c>
      <c r="J29" s="28" t="s">
        <v>517</v>
      </c>
      <c r="K29" s="7" t="s">
        <v>188</v>
      </c>
      <c r="L29" s="14" t="s">
        <v>518</v>
      </c>
      <c r="M29" s="13" t="n">
        <f aca="false">C29*(1-L29)</f>
        <v>16053.8</v>
      </c>
      <c r="N29" s="8" t="s">
        <v>513</v>
      </c>
    </row>
    <row r="30" customFormat="false" ht="21.75" hidden="false" customHeight="true" outlineLevel="0" collapsed="false">
      <c r="A30" s="24" t="s">
        <v>519</v>
      </c>
      <c r="B30" s="26" t="n">
        <f aca="false">SUM(B25:B29)</f>
        <v>2665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6" t="n">
        <f aca="false">SUM(M25:M29)</f>
        <v>112302.1</v>
      </c>
      <c r="N30" s="46" t="s">
        <v>520</v>
      </c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customFormat="false" ht="15" hidden="false" customHeight="false" outlineLevel="0" collapsed="false">
      <c r="A32" s="4" t="s">
        <v>521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customFormat="false" ht="15" hidden="false" customHeight="false" outlineLevel="0" collapsed="false">
      <c r="A33" s="11" t="s">
        <v>522</v>
      </c>
      <c r="B33" s="11" t="s">
        <v>523</v>
      </c>
      <c r="C33" s="11" t="s">
        <v>524</v>
      </c>
      <c r="D33" s="11" t="s">
        <v>525</v>
      </c>
      <c r="E33" s="11" t="s">
        <v>526</v>
      </c>
      <c r="F33" s="11" t="s">
        <v>527</v>
      </c>
      <c r="G33" s="11" t="s">
        <v>528</v>
      </c>
      <c r="H33" s="11" t="s">
        <v>529</v>
      </c>
      <c r="I33" s="11" t="s">
        <v>530</v>
      </c>
      <c r="J33" s="11" t="s">
        <v>175</v>
      </c>
      <c r="K33" s="3"/>
      <c r="L33" s="3"/>
      <c r="M33" s="3"/>
      <c r="N33" s="3"/>
    </row>
    <row r="34" customFormat="false" ht="36" hidden="false" customHeight="true" outlineLevel="0" collapsed="false">
      <c r="A34" s="47" t="s">
        <v>531</v>
      </c>
      <c r="B34" s="48" t="s">
        <v>532</v>
      </c>
      <c r="C34" s="48" t="s">
        <v>533</v>
      </c>
      <c r="D34" s="48" t="s">
        <v>534</v>
      </c>
      <c r="E34" s="48" t="s">
        <v>535</v>
      </c>
      <c r="F34" s="48" t="s">
        <v>536</v>
      </c>
      <c r="G34" s="48" t="s">
        <v>537</v>
      </c>
      <c r="H34" s="48" t="s">
        <v>538</v>
      </c>
      <c r="I34" s="48" t="s">
        <v>539</v>
      </c>
      <c r="J34" s="48" t="s">
        <v>540</v>
      </c>
      <c r="K34" s="3"/>
      <c r="L34" s="3"/>
      <c r="M34" s="3"/>
      <c r="N34" s="3"/>
    </row>
    <row r="35" customFormat="false" ht="36" hidden="false" customHeight="true" outlineLevel="0" collapsed="false">
      <c r="A35" s="49" t="s">
        <v>541</v>
      </c>
      <c r="B35" s="50" t="s">
        <v>542</v>
      </c>
      <c r="C35" s="50" t="s">
        <v>543</v>
      </c>
      <c r="D35" s="50" t="s">
        <v>544</v>
      </c>
      <c r="E35" s="50" t="s">
        <v>545</v>
      </c>
      <c r="F35" s="50" t="s">
        <v>546</v>
      </c>
      <c r="G35" s="50" t="s">
        <v>547</v>
      </c>
      <c r="H35" s="50" t="s">
        <v>548</v>
      </c>
      <c r="I35" s="50" t="s">
        <v>549</v>
      </c>
      <c r="J35" s="50" t="s">
        <v>550</v>
      </c>
      <c r="K35" s="3"/>
      <c r="L35" s="3"/>
      <c r="M35" s="3"/>
      <c r="N35" s="3"/>
    </row>
    <row r="36" customFormat="false" ht="36" hidden="false" customHeight="true" outlineLevel="0" collapsed="false">
      <c r="A36" s="51" t="s">
        <v>551</v>
      </c>
      <c r="B36" s="52" t="s">
        <v>552</v>
      </c>
      <c r="C36" s="52" t="s">
        <v>553</v>
      </c>
      <c r="D36" s="52" t="s">
        <v>554</v>
      </c>
      <c r="E36" s="52" t="s">
        <v>555</v>
      </c>
      <c r="F36" s="52" t="s">
        <v>556</v>
      </c>
      <c r="G36" s="52" t="s">
        <v>557</v>
      </c>
      <c r="H36" s="52" t="s">
        <v>558</v>
      </c>
      <c r="I36" s="52" t="s">
        <v>559</v>
      </c>
      <c r="J36" s="52" t="s">
        <v>560</v>
      </c>
      <c r="K36" s="3"/>
      <c r="L36" s="3"/>
      <c r="M36" s="3"/>
      <c r="N36" s="3"/>
    </row>
  </sheetData>
  <sheetProtection sheet="true" password="8ba0" objects="true" scenarios="true" selectLockedCells="true" selectUnlockedCells="true"/>
  <mergeCells count="7">
    <mergeCell ref="A1:N1"/>
    <mergeCell ref="A2:N2"/>
    <mergeCell ref="A4:N4"/>
    <mergeCell ref="A5:G5"/>
    <mergeCell ref="A14:G14"/>
    <mergeCell ref="A23:N23"/>
    <mergeCell ref="A32:N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6" min="5" style="0" width="8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10" min="9" style="0" width="10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5" min="15" style="0" width="8"/>
    <col collapsed="false" customWidth="true" hidden="false" outlineLevel="0" max="16" min="16" style="0" width="24"/>
  </cols>
  <sheetData>
    <row r="1" customFormat="false" ht="36" hidden="false" customHeight="true" outlineLevel="0" collapsed="false">
      <c r="A1" s="1" t="s">
        <v>561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8" hidden="false" customHeight="true" outlineLevel="0" collapsed="false">
      <c r="A2" s="2" t="s">
        <v>562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15" hidden="false" customHeight="false" outlineLevel="0" collapsed="false">
      <c r="A4" s="4" t="s">
        <v>563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customFormat="false" ht="15" hidden="false" customHeight="false" outlineLevel="0" collapsed="false">
      <c r="A5" s="11" t="s">
        <v>564</v>
      </c>
      <c r="B5" s="11" t="s">
        <v>565</v>
      </c>
      <c r="C5" s="11" t="s">
        <v>566</v>
      </c>
      <c r="D5" s="11" t="s">
        <v>8</v>
      </c>
      <c r="E5" s="11" t="s">
        <v>567</v>
      </c>
      <c r="F5" s="11" t="s">
        <v>568</v>
      </c>
      <c r="G5" s="11" t="s">
        <v>569</v>
      </c>
      <c r="H5" s="11" t="s">
        <v>570</v>
      </c>
      <c r="I5" s="11" t="s">
        <v>17</v>
      </c>
      <c r="J5" s="3"/>
      <c r="K5" s="3"/>
      <c r="L5" s="3"/>
      <c r="M5" s="3"/>
      <c r="N5" s="3"/>
      <c r="O5" s="3"/>
      <c r="P5" s="3"/>
    </row>
    <row r="6" customFormat="false" ht="21.75" hidden="false" customHeight="true" outlineLevel="0" collapsed="false">
      <c r="A6" s="8" t="s">
        <v>571</v>
      </c>
      <c r="B6" s="7" t="n">
        <v>1</v>
      </c>
      <c r="C6" s="12" t="s">
        <v>572</v>
      </c>
      <c r="D6" s="8" t="s">
        <v>573</v>
      </c>
      <c r="E6" s="28" t="s">
        <v>574</v>
      </c>
      <c r="F6" s="28" t="s">
        <v>575</v>
      </c>
      <c r="G6" s="8" t="s">
        <v>576</v>
      </c>
      <c r="H6" s="7" t="s">
        <v>188</v>
      </c>
      <c r="I6" s="28" t="s">
        <v>577</v>
      </c>
      <c r="J6" s="3"/>
      <c r="K6" s="3"/>
      <c r="L6" s="3"/>
      <c r="M6" s="3"/>
      <c r="N6" s="3"/>
      <c r="O6" s="3"/>
      <c r="P6" s="3"/>
    </row>
    <row r="7" customFormat="false" ht="21.75" hidden="false" customHeight="true" outlineLevel="0" collapsed="false">
      <c r="A7" s="10" t="s">
        <v>578</v>
      </c>
      <c r="B7" s="9" t="n">
        <v>3</v>
      </c>
      <c r="C7" s="18" t="s">
        <v>579</v>
      </c>
      <c r="D7" s="10" t="s">
        <v>21</v>
      </c>
      <c r="E7" s="29" t="s">
        <v>580</v>
      </c>
      <c r="F7" s="29" t="s">
        <v>581</v>
      </c>
      <c r="G7" s="10" t="s">
        <v>582</v>
      </c>
      <c r="H7" s="9" t="s">
        <v>188</v>
      </c>
      <c r="I7" s="29" t="s">
        <v>583</v>
      </c>
      <c r="J7" s="3"/>
      <c r="K7" s="3"/>
      <c r="L7" s="3"/>
      <c r="M7" s="3"/>
      <c r="N7" s="3"/>
      <c r="O7" s="3"/>
      <c r="P7" s="3"/>
    </row>
    <row r="8" customFormat="false" ht="21.75" hidden="false" customHeight="true" outlineLevel="0" collapsed="false">
      <c r="A8" s="8" t="s">
        <v>584</v>
      </c>
      <c r="B8" s="7" t="n">
        <v>7</v>
      </c>
      <c r="C8" s="12" t="s">
        <v>585</v>
      </c>
      <c r="D8" s="8" t="s">
        <v>586</v>
      </c>
      <c r="E8" s="28" t="s">
        <v>587</v>
      </c>
      <c r="F8" s="28" t="s">
        <v>588</v>
      </c>
      <c r="G8" s="8" t="s">
        <v>589</v>
      </c>
      <c r="H8" s="7" t="s">
        <v>198</v>
      </c>
      <c r="I8" s="28" t="s">
        <v>590</v>
      </c>
      <c r="J8" s="3"/>
      <c r="K8" s="3"/>
      <c r="L8" s="3"/>
      <c r="M8" s="3"/>
      <c r="N8" s="3"/>
      <c r="O8" s="3"/>
      <c r="P8" s="3"/>
    </row>
    <row r="9" customFormat="false" ht="21.75" hidden="false" customHeight="true" outlineLevel="0" collapsed="false">
      <c r="A9" s="10" t="s">
        <v>591</v>
      </c>
      <c r="B9" s="9" t="n">
        <v>10</v>
      </c>
      <c r="C9" s="18" t="s">
        <v>592</v>
      </c>
      <c r="D9" s="10" t="s">
        <v>21</v>
      </c>
      <c r="E9" s="29" t="s">
        <v>593</v>
      </c>
      <c r="F9" s="29" t="s">
        <v>594</v>
      </c>
      <c r="G9" s="10" t="s">
        <v>595</v>
      </c>
      <c r="H9" s="9" t="s">
        <v>188</v>
      </c>
      <c r="I9" s="29" t="s">
        <v>596</v>
      </c>
      <c r="J9" s="3"/>
      <c r="K9" s="3"/>
      <c r="L9" s="3"/>
      <c r="M9" s="3"/>
      <c r="N9" s="3"/>
      <c r="O9" s="3"/>
      <c r="P9" s="3"/>
    </row>
    <row r="10" customFormat="false" ht="21.75" hidden="false" customHeight="true" outlineLevel="0" collapsed="false">
      <c r="A10" s="8" t="s">
        <v>597</v>
      </c>
      <c r="B10" s="7" t="n">
        <v>14</v>
      </c>
      <c r="C10" s="12" t="s">
        <v>598</v>
      </c>
      <c r="D10" s="8" t="s">
        <v>21</v>
      </c>
      <c r="E10" s="28" t="s">
        <v>599</v>
      </c>
      <c r="F10" s="28" t="s">
        <v>600</v>
      </c>
      <c r="G10" s="8" t="s">
        <v>601</v>
      </c>
      <c r="H10" s="7" t="s">
        <v>188</v>
      </c>
      <c r="I10" s="28" t="s">
        <v>602</v>
      </c>
      <c r="J10" s="3"/>
      <c r="K10" s="3"/>
      <c r="L10" s="3"/>
      <c r="M10" s="3"/>
      <c r="N10" s="3"/>
      <c r="O10" s="3"/>
      <c r="P10" s="3"/>
    </row>
    <row r="11" customFormat="false" ht="21.75" hidden="false" customHeight="true" outlineLevel="0" collapsed="false">
      <c r="A11" s="10" t="s">
        <v>603</v>
      </c>
      <c r="B11" s="9" t="n">
        <v>21</v>
      </c>
      <c r="C11" s="18" t="s">
        <v>604</v>
      </c>
      <c r="D11" s="10" t="s">
        <v>21</v>
      </c>
      <c r="E11" s="29" t="s">
        <v>605</v>
      </c>
      <c r="F11" s="29" t="s">
        <v>606</v>
      </c>
      <c r="G11" s="10" t="s">
        <v>607</v>
      </c>
      <c r="H11" s="9" t="s">
        <v>198</v>
      </c>
      <c r="I11" s="29" t="s">
        <v>608</v>
      </c>
      <c r="J11" s="3"/>
      <c r="K11" s="3"/>
      <c r="L11" s="3"/>
      <c r="M11" s="3"/>
      <c r="N11" s="3"/>
      <c r="O11" s="3"/>
      <c r="P11" s="3"/>
    </row>
    <row r="12" customFormat="false" ht="21.75" hidden="false" customHeight="true" outlineLevel="0" collapsed="false">
      <c r="A12" s="8" t="s">
        <v>609</v>
      </c>
      <c r="B12" s="7" t="n">
        <v>30</v>
      </c>
      <c r="C12" s="12" t="s">
        <v>610</v>
      </c>
      <c r="D12" s="8" t="s">
        <v>611</v>
      </c>
      <c r="E12" s="28" t="s">
        <v>612</v>
      </c>
      <c r="F12" s="28" t="s">
        <v>613</v>
      </c>
      <c r="G12" s="8" t="s">
        <v>614</v>
      </c>
      <c r="H12" s="7" t="s">
        <v>198</v>
      </c>
      <c r="I12" s="28" t="s">
        <v>615</v>
      </c>
      <c r="J12" s="3"/>
      <c r="K12" s="3"/>
      <c r="L12" s="3"/>
      <c r="M12" s="3"/>
      <c r="N12" s="3"/>
      <c r="O12" s="3"/>
      <c r="P12" s="3"/>
    </row>
    <row r="13" customFormat="false" ht="21.75" hidden="false" customHeight="true" outlineLevel="0" collapsed="false">
      <c r="A13" s="10" t="s">
        <v>616</v>
      </c>
      <c r="B13" s="9" t="n">
        <v>45</v>
      </c>
      <c r="C13" s="18" t="s">
        <v>617</v>
      </c>
      <c r="D13" s="10" t="s">
        <v>21</v>
      </c>
      <c r="E13" s="29" t="s">
        <v>618</v>
      </c>
      <c r="F13" s="29" t="s">
        <v>619</v>
      </c>
      <c r="G13" s="10" t="s">
        <v>620</v>
      </c>
      <c r="H13" s="9" t="s">
        <v>188</v>
      </c>
      <c r="I13" s="29" t="s">
        <v>621</v>
      </c>
      <c r="J13" s="3"/>
      <c r="K13" s="3"/>
      <c r="L13" s="3"/>
      <c r="M13" s="3"/>
      <c r="N13" s="3"/>
      <c r="O13" s="3"/>
      <c r="P13" s="3"/>
    </row>
    <row r="14" customFormat="false" ht="21.75" hidden="false" customHeight="true" outlineLevel="0" collapsed="false">
      <c r="A14" s="8" t="s">
        <v>622</v>
      </c>
      <c r="B14" s="7" t="n">
        <v>60</v>
      </c>
      <c r="C14" s="12" t="s">
        <v>623</v>
      </c>
      <c r="D14" s="8" t="s">
        <v>21</v>
      </c>
      <c r="E14" s="28" t="s">
        <v>624</v>
      </c>
      <c r="F14" s="28" t="s">
        <v>625</v>
      </c>
      <c r="G14" s="8" t="s">
        <v>28</v>
      </c>
      <c r="H14" s="7" t="s">
        <v>198</v>
      </c>
      <c r="I14" s="28" t="s">
        <v>626</v>
      </c>
      <c r="J14" s="3"/>
      <c r="K14" s="3"/>
      <c r="L14" s="3"/>
      <c r="M14" s="3"/>
      <c r="N14" s="3"/>
      <c r="O14" s="3"/>
      <c r="P14" s="3"/>
    </row>
    <row r="15" customFormat="false" ht="21.75" hidden="false" customHeight="true" outlineLevel="0" collapsed="false">
      <c r="A15" s="10" t="s">
        <v>627</v>
      </c>
      <c r="B15" s="9" t="n">
        <v>90</v>
      </c>
      <c r="C15" s="18" t="s">
        <v>628</v>
      </c>
      <c r="D15" s="10" t="s">
        <v>611</v>
      </c>
      <c r="E15" s="29" t="s">
        <v>629</v>
      </c>
      <c r="F15" s="29" t="s">
        <v>630</v>
      </c>
      <c r="G15" s="10" t="s">
        <v>631</v>
      </c>
      <c r="H15" s="9" t="s">
        <v>198</v>
      </c>
      <c r="I15" s="29" t="s">
        <v>632</v>
      </c>
      <c r="J15" s="3"/>
      <c r="K15" s="3"/>
      <c r="L15" s="3"/>
      <c r="M15" s="3"/>
      <c r="N15" s="3"/>
      <c r="O15" s="3"/>
      <c r="P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customFormat="false" ht="15" hidden="false" customHeight="false" outlineLevel="0" collapsed="false">
      <c r="A18" s="4" t="s">
        <v>633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customFormat="false" ht="15" hidden="false" customHeight="false" outlineLevel="0" collapsed="false">
      <c r="A19" s="11" t="s">
        <v>127</v>
      </c>
      <c r="B19" s="11" t="s">
        <v>9</v>
      </c>
      <c r="C19" s="11" t="s">
        <v>21</v>
      </c>
      <c r="D19" s="11" t="s">
        <v>634</v>
      </c>
      <c r="E19" s="11" t="s">
        <v>635</v>
      </c>
      <c r="F19" s="11" t="s">
        <v>636</v>
      </c>
      <c r="G19" s="11" t="s">
        <v>637</v>
      </c>
      <c r="H19" s="11" t="s">
        <v>638</v>
      </c>
      <c r="I19" s="11" t="s">
        <v>639</v>
      </c>
      <c r="J19" s="11" t="s">
        <v>640</v>
      </c>
      <c r="K19" s="11" t="s">
        <v>641</v>
      </c>
      <c r="L19" s="11" t="s">
        <v>642</v>
      </c>
      <c r="M19" s="11" t="s">
        <v>643</v>
      </c>
      <c r="N19" s="11" t="s">
        <v>644</v>
      </c>
      <c r="O19" s="11" t="s">
        <v>77</v>
      </c>
      <c r="P19" s="11" t="s">
        <v>645</v>
      </c>
    </row>
    <row r="20" customFormat="false" ht="21.75" hidden="false" customHeight="true" outlineLevel="0" collapsed="false">
      <c r="A20" s="12" t="s">
        <v>646</v>
      </c>
      <c r="B20" s="7" t="s">
        <v>34</v>
      </c>
      <c r="C20" s="7" t="s">
        <v>107</v>
      </c>
      <c r="D20" s="53" t="s">
        <v>647</v>
      </c>
      <c r="E20" s="7" t="n">
        <v>39</v>
      </c>
      <c r="F20" s="7" t="n">
        <v>45</v>
      </c>
      <c r="G20" s="7" t="s">
        <v>648</v>
      </c>
      <c r="H20" s="14" t="n">
        <f aca="false">COUNTIF(I20:M20,"✅")/5</f>
        <v>1</v>
      </c>
      <c r="I20" s="7" t="s">
        <v>190</v>
      </c>
      <c r="J20" s="7" t="s">
        <v>190</v>
      </c>
      <c r="K20" s="7" t="s">
        <v>190</v>
      </c>
      <c r="L20" s="7" t="s">
        <v>190</v>
      </c>
      <c r="M20" s="7" t="s">
        <v>190</v>
      </c>
      <c r="N20" s="7" t="s">
        <v>649</v>
      </c>
      <c r="O20" s="7" t="s">
        <v>650</v>
      </c>
      <c r="P20" s="7" t="s">
        <v>651</v>
      </c>
    </row>
    <row r="21" customFormat="false" ht="21.75" hidden="false" customHeight="true" outlineLevel="0" collapsed="false">
      <c r="A21" s="18" t="s">
        <v>110</v>
      </c>
      <c r="B21" s="9" t="s">
        <v>34</v>
      </c>
      <c r="C21" s="9" t="s">
        <v>107</v>
      </c>
      <c r="D21" s="54" t="s">
        <v>652</v>
      </c>
      <c r="E21" s="9" t="n">
        <v>25</v>
      </c>
      <c r="F21" s="9" t="n">
        <v>45</v>
      </c>
      <c r="G21" s="9" t="s">
        <v>653</v>
      </c>
      <c r="H21" s="20" t="n">
        <f aca="false">COUNTIF(I21:M21,"✅")/5</f>
        <v>0.6</v>
      </c>
      <c r="I21" s="9" t="s">
        <v>190</v>
      </c>
      <c r="J21" s="9" t="s">
        <v>190</v>
      </c>
      <c r="K21" s="9" t="s">
        <v>190</v>
      </c>
      <c r="L21" s="9" t="s">
        <v>213</v>
      </c>
      <c r="M21" s="9" t="s">
        <v>654</v>
      </c>
      <c r="N21" s="9" t="s">
        <v>654</v>
      </c>
      <c r="O21" s="9" t="s">
        <v>655</v>
      </c>
      <c r="P21" s="9" t="s">
        <v>651</v>
      </c>
    </row>
    <row r="22" customFormat="false" ht="21.75" hidden="false" customHeight="true" outlineLevel="0" collapsed="false">
      <c r="A22" s="12" t="s">
        <v>656</v>
      </c>
      <c r="B22" s="7" t="s">
        <v>47</v>
      </c>
      <c r="C22" s="7" t="s">
        <v>117</v>
      </c>
      <c r="D22" s="53" t="s">
        <v>96</v>
      </c>
      <c r="E22" s="7" t="n">
        <v>13</v>
      </c>
      <c r="F22" s="7" t="n">
        <v>45</v>
      </c>
      <c r="G22" s="7" t="s">
        <v>657</v>
      </c>
      <c r="H22" s="14" t="n">
        <f aca="false">COUNTIF(I22:M22,"✅")/5</f>
        <v>0.4</v>
      </c>
      <c r="I22" s="7" t="s">
        <v>190</v>
      </c>
      <c r="J22" s="7" t="s">
        <v>190</v>
      </c>
      <c r="K22" s="7" t="s">
        <v>213</v>
      </c>
      <c r="L22" s="7" t="s">
        <v>654</v>
      </c>
      <c r="M22" s="7" t="s">
        <v>654</v>
      </c>
      <c r="N22" s="7" t="s">
        <v>654</v>
      </c>
      <c r="O22" s="7" t="s">
        <v>658</v>
      </c>
      <c r="P22" s="7" t="s">
        <v>651</v>
      </c>
    </row>
    <row r="23" customFormat="false" ht="21.75" hidden="false" customHeight="true" outlineLevel="0" collapsed="false">
      <c r="A23" s="18" t="s">
        <v>659</v>
      </c>
      <c r="B23" s="9" t="s">
        <v>22</v>
      </c>
      <c r="C23" s="9" t="s">
        <v>99</v>
      </c>
      <c r="D23" s="54" t="s">
        <v>660</v>
      </c>
      <c r="E23" s="9" t="n">
        <v>35</v>
      </c>
      <c r="F23" s="9" t="n">
        <v>45</v>
      </c>
      <c r="G23" s="9" t="s">
        <v>661</v>
      </c>
      <c r="H23" s="20" t="n">
        <f aca="false">COUNTIF(I23:M23,"✅")/5</f>
        <v>0.8</v>
      </c>
      <c r="I23" s="9" t="s">
        <v>190</v>
      </c>
      <c r="J23" s="9" t="s">
        <v>190</v>
      </c>
      <c r="K23" s="9" t="s">
        <v>190</v>
      </c>
      <c r="L23" s="9" t="s">
        <v>190</v>
      </c>
      <c r="M23" s="9" t="s">
        <v>213</v>
      </c>
      <c r="N23" s="9" t="s">
        <v>654</v>
      </c>
      <c r="O23" s="9" t="s">
        <v>662</v>
      </c>
      <c r="P23" s="9" t="s">
        <v>663</v>
      </c>
    </row>
    <row r="24" customFormat="false" ht="21.75" hidden="false" customHeight="true" outlineLevel="0" collapsed="false">
      <c r="A24" s="12" t="s">
        <v>664</v>
      </c>
      <c r="B24" s="7" t="s">
        <v>47</v>
      </c>
      <c r="C24" s="7" t="s">
        <v>117</v>
      </c>
      <c r="D24" s="53" t="s">
        <v>665</v>
      </c>
      <c r="E24" s="7" t="n">
        <v>61</v>
      </c>
      <c r="F24" s="7" t="n">
        <v>45</v>
      </c>
      <c r="G24" s="7" t="s">
        <v>666</v>
      </c>
      <c r="H24" s="14" t="n">
        <f aca="false">COUNTIF(I24:M24,"✅")/5</f>
        <v>1</v>
      </c>
      <c r="I24" s="7" t="s">
        <v>190</v>
      </c>
      <c r="J24" s="7" t="s">
        <v>190</v>
      </c>
      <c r="K24" s="7" t="s">
        <v>190</v>
      </c>
      <c r="L24" s="7" t="s">
        <v>190</v>
      </c>
      <c r="M24" s="7" t="s">
        <v>190</v>
      </c>
      <c r="N24" s="7" t="s">
        <v>667</v>
      </c>
      <c r="O24" s="7" t="s">
        <v>668</v>
      </c>
      <c r="P24" s="7" t="s">
        <v>669</v>
      </c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customFormat="false" ht="15" hidden="false" customHeight="false" outlineLevel="0" collapsed="false">
      <c r="A27" s="4" t="s">
        <v>670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customFormat="false" ht="15" hidden="false" customHeight="false" outlineLevel="0" collapsed="false">
      <c r="A28" s="11" t="s">
        <v>296</v>
      </c>
      <c r="B28" s="11" t="s">
        <v>297</v>
      </c>
      <c r="C28" s="11" t="s">
        <v>671</v>
      </c>
      <c r="D28" s="11" t="s">
        <v>672</v>
      </c>
      <c r="E28" s="11" t="s">
        <v>83</v>
      </c>
      <c r="F28" s="11" t="s">
        <v>17</v>
      </c>
      <c r="G28" s="3"/>
      <c r="H28" s="3"/>
      <c r="I28" s="3"/>
      <c r="J28" s="3"/>
      <c r="K28" s="3"/>
      <c r="L28" s="3"/>
      <c r="M28" s="3"/>
      <c r="N28" s="3"/>
      <c r="O28" s="3"/>
      <c r="P28" s="3"/>
    </row>
    <row r="29" customFormat="false" ht="19.5" hidden="false" customHeight="true" outlineLevel="0" collapsed="false">
      <c r="A29" s="8" t="s">
        <v>673</v>
      </c>
      <c r="B29" s="8" t="s">
        <v>331</v>
      </c>
      <c r="C29" s="8" t="s">
        <v>674</v>
      </c>
      <c r="D29" s="8" t="str">
        <f aca="false">C29</f>
        <v>43 days</v>
      </c>
      <c r="E29" s="8" t="s">
        <v>675</v>
      </c>
      <c r="F29" s="28" t="s">
        <v>676</v>
      </c>
      <c r="G29" s="3"/>
      <c r="H29" s="3"/>
      <c r="I29" s="3"/>
      <c r="J29" s="3"/>
      <c r="K29" s="3"/>
      <c r="L29" s="3"/>
      <c r="M29" s="3"/>
      <c r="N29" s="3"/>
      <c r="O29" s="3"/>
      <c r="P29" s="3"/>
    </row>
    <row r="30" customFormat="false" ht="19.5" hidden="false" customHeight="true" outlineLevel="0" collapsed="false">
      <c r="A30" s="10" t="s">
        <v>677</v>
      </c>
      <c r="B30" s="10" t="s">
        <v>324</v>
      </c>
      <c r="C30" s="10" t="s">
        <v>678</v>
      </c>
      <c r="D30" s="10" t="str">
        <f aca="false">C30</f>
        <v>94%</v>
      </c>
      <c r="E30" s="10" t="s">
        <v>88</v>
      </c>
      <c r="F30" s="29" t="s">
        <v>679</v>
      </c>
      <c r="G30" s="3"/>
      <c r="H30" s="3"/>
      <c r="I30" s="3"/>
      <c r="J30" s="3"/>
      <c r="K30" s="3"/>
      <c r="L30" s="3"/>
      <c r="M30" s="3"/>
      <c r="N30" s="3"/>
      <c r="O30" s="3"/>
      <c r="P30" s="3"/>
    </row>
    <row r="31" customFormat="false" ht="19.5" hidden="false" customHeight="true" outlineLevel="0" collapsed="false">
      <c r="A31" s="8" t="s">
        <v>680</v>
      </c>
      <c r="B31" s="8" t="s">
        <v>681</v>
      </c>
      <c r="C31" s="8" t="s">
        <v>682</v>
      </c>
      <c r="D31" s="8" t="str">
        <f aca="false">C31</f>
        <v>80%</v>
      </c>
      <c r="E31" s="8" t="s">
        <v>92</v>
      </c>
      <c r="F31" s="28" t="s">
        <v>683</v>
      </c>
      <c r="G31" s="3"/>
      <c r="H31" s="3"/>
      <c r="I31" s="3"/>
      <c r="J31" s="3"/>
      <c r="K31" s="3"/>
      <c r="L31" s="3"/>
      <c r="M31" s="3"/>
      <c r="N31" s="3"/>
      <c r="O31" s="3"/>
      <c r="P31" s="3"/>
    </row>
    <row r="32" customFormat="false" ht="19.5" hidden="false" customHeight="true" outlineLevel="0" collapsed="false">
      <c r="A32" s="10" t="s">
        <v>684</v>
      </c>
      <c r="B32" s="10" t="s">
        <v>685</v>
      </c>
      <c r="C32" s="10" t="s">
        <v>650</v>
      </c>
      <c r="D32" s="10" t="str">
        <f aca="false">C32</f>
        <v>4.4</v>
      </c>
      <c r="E32" s="10" t="s">
        <v>88</v>
      </c>
      <c r="F32" s="29" t="s">
        <v>686</v>
      </c>
      <c r="G32" s="3"/>
      <c r="H32" s="3"/>
      <c r="I32" s="3"/>
      <c r="J32" s="3"/>
      <c r="K32" s="3"/>
      <c r="L32" s="3"/>
      <c r="M32" s="3"/>
      <c r="N32" s="3"/>
      <c r="O32" s="3"/>
      <c r="P32" s="3"/>
    </row>
    <row r="33" customFormat="false" ht="19.5" hidden="false" customHeight="true" outlineLevel="0" collapsed="false">
      <c r="A33" s="8" t="s">
        <v>687</v>
      </c>
      <c r="B33" s="8" t="s">
        <v>688</v>
      </c>
      <c r="C33" s="8" t="s">
        <v>688</v>
      </c>
      <c r="D33" s="8" t="str">
        <f aca="false">C33</f>
        <v>100%</v>
      </c>
      <c r="E33" s="8" t="s">
        <v>92</v>
      </c>
      <c r="F33" s="28" t="s">
        <v>689</v>
      </c>
      <c r="G33" s="3"/>
      <c r="H33" s="3"/>
      <c r="I33" s="3"/>
      <c r="J33" s="3"/>
      <c r="K33" s="3"/>
      <c r="L33" s="3"/>
      <c r="M33" s="3"/>
      <c r="N33" s="3"/>
      <c r="O33" s="3"/>
      <c r="P33" s="3"/>
    </row>
    <row r="34" customFormat="false" ht="19.5" hidden="false" customHeight="true" outlineLevel="0" collapsed="false">
      <c r="A34" s="10" t="s">
        <v>690</v>
      </c>
      <c r="B34" s="10" t="s">
        <v>324</v>
      </c>
      <c r="C34" s="10" t="s">
        <v>691</v>
      </c>
      <c r="D34" s="10" t="str">
        <f aca="false">C34</f>
        <v>87%</v>
      </c>
      <c r="E34" s="10" t="s">
        <v>92</v>
      </c>
      <c r="F34" s="29" t="s">
        <v>692</v>
      </c>
      <c r="G34" s="3"/>
      <c r="H34" s="3"/>
      <c r="I34" s="3"/>
      <c r="J34" s="3"/>
      <c r="K34" s="3"/>
      <c r="L34" s="3"/>
      <c r="M34" s="3"/>
      <c r="N34" s="3"/>
      <c r="O34" s="3"/>
      <c r="P34" s="3"/>
    </row>
  </sheetData>
  <sheetProtection sheet="true" password="8ba0" objects="true" scenarios="true" selectLockedCells="true" selectUnlockedCells="true"/>
  <mergeCells count="5">
    <mergeCell ref="A1:P1"/>
    <mergeCell ref="A2:P2"/>
    <mergeCell ref="A4:P4"/>
    <mergeCell ref="A18:P18"/>
    <mergeCell ref="A27:P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2026-02-22T22:40:51Z</dcterms:created>
  <dc:creator>openpyxl</dc:creator>
  <dc:description/>
  <dc:language>en-US</dc:language>
  <cp:lastModifiedBy/>
  <dcterms:modified xsi:type="dcterms:W3CDTF">2026-02-22T22:40:51Z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