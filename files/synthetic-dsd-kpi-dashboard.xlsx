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e47344119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f292dc09e9444dc"/>
    <x:sheet xmlns:r="http://schemas.openxmlformats.org/officeDocument/2006/relationships" name="Store_KPIs" sheetId="2" r:id="R1074637e317e4c73"/>
    <x:sheet xmlns:r="http://schemas.openxmlformats.org/officeDocument/2006/relationships" name="PO_Automation" sheetId="3" r:id="Ra930fb62101c4e5e"/>
    <x:sheet xmlns:r="http://schemas.openxmlformats.org/officeDocument/2006/relationships" name="Data_Dictionary" sheetId="4" r:id="Rd800bb1d644d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m/d/yyyy"/>
    <x:numFmt numFmtId="203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C2D1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62e52f876474a" /><Relationship Type="http://schemas.openxmlformats.org/officeDocument/2006/relationships/theme" Target="/xl/theme/theme1.xml" Id="Rf1e48ec86f4744ce" /><Relationship Type="http://schemas.openxmlformats.org/officeDocument/2006/relationships/sharedStrings" Target="/xl/sharedStrings.xml" Id="R377af4b700c34010" /><Relationship Type="http://schemas.openxmlformats.org/officeDocument/2006/relationships/worksheet" Target="/xl/worksheets/sheet1.xml" Id="Raf292dc09e9444dc" /><Relationship Type="http://schemas.openxmlformats.org/officeDocument/2006/relationships/worksheet" Target="/xl/worksheets/sheet2.xml" Id="R1074637e317e4c73" /><Relationship Type="http://schemas.openxmlformats.org/officeDocument/2006/relationships/worksheet" Target="/xl/worksheets/sheet3.xml" Id="Ra930fb62101c4e5e" /><Relationship Type="http://schemas.openxmlformats.org/officeDocument/2006/relationships/worksheet" Target="/xl/worksheets/sheet4.xml" Id="Rd800bb1d644d47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0354e3f4cc4c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Synthetic DSD Execution by Account Sample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Execution Score</c:v>
          </c:tx>
          <c:cat>
            <c:strRef>
              <c:f>'Store_KPIs'!$B$2:$B$13</c:f>
              <c:strCache>
                <c:ptCount val="0"/>
              </c:strCache>
            </c:strRef>
          </c:cat>
          <c:val>
            <c:numRef>
              <c:f>'Store_KPIs'!$G$2:$G$13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8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0354e3f4cc4c9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oreKPIsTable" displayName="StoreKPIsTable" ref="A1:I25" headerRowCount="1">
  <x:tableColumns count="9">
    <x:tableColumn id="1" name="Week"/>
    <x:tableColumn id="2" name="Account"/>
    <x:tableColumn id="3" name="Region"/>
    <x:tableColumn id="4" name="Stores"/>
    <x:tableColumn id="5" name="In-Stock %"/>
    <x:tableColumn id="6" name="Promo Compliance %"/>
    <x:tableColumn id="7" name="DSD Execution Score"/>
    <x:tableColumn id="8" name="Service Risk"/>
    <x:tableColumn id="9" name="Action Needed"/>
  </x:tableColumns>
  <x:tableStyleInfo name="TableStyleMedium2" showRowStripes="1"/>
</x:table>
</file>

<file path=xl/tables/table2.xml><?xml version="1.0" encoding="utf-8"?>
<x:table xmlns:x="http://schemas.openxmlformats.org/spreadsheetml/2006/main" id="2" name="POAutomationTable" displayName="POAutomationTable" ref="A1:L31" headerRowCount="1">
  <x:tableColumns count="12">
    <x:tableColumn id="1" name="Received Date"/>
    <x:tableColumn id="2" name="PO #"/>
    <x:tableColumn id="3" name="Account"/>
    <x:tableColumn id="4" name="Owner"/>
    <x:tableColumn id="5" name="Status"/>
    <x:tableColumn id="6" name="Exception Reason"/>
    <x:tableColumn id="7" name="Entered Date"/>
    <x:tableColumn id="8" name="Aging Days"/>
    <x:tableColumn id="9" name="Due Window"/>
    <x:tableColumn id="10" name="On-Time Flag"/>
    <x:tableColumn id="11" name="Exception Flag"/>
    <x:tableColumn id="12" name="Duplicate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a04f625fc343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fecdbe63f44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fd6f689e75430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Synthetic DSD &amp; Sales Operations KPI Dashboard</x:v>
      </x:c>
    </x:row>
    <x:row r="2">
      <x:c r="A2" s="11" t="str">
        <x:v>Public portfolio sample using fictional accounts and synthetic data. No employer, retailer, customer, or confidential data is included.</x:v>
      </x:c>
    </x:row>
    <x:row r="4">
      <x:c r="A4" s="25" t="str">
        <x:v>Metric</x:v>
      </x:c>
      <x:c r="B4" s="25" t="str">
        <x:v>Value</x:v>
      </x:c>
      <x:c r="C4" s="25" t="str">
        <x:v>Target</x:v>
      </x:c>
      <x:c r="D4" s="25" t="str">
        <x:v>Status</x:v>
      </x:c>
    </x:row>
    <x:row r="5">
      <x:c r="A5" s="26" t="str">
        <x:v>On-Time PO Entry</x:v>
      </x:c>
      <x:c r="B5" s="31" t="n">
        <x:f>ROUND(AVERAGE(PO_Automation!J2:J31),3)</x:f>
        <x:v>0.9</x:v>
      </x:c>
      <x:c r="C5" s="27" t="str">
        <x:v>&gt;=90%</x:v>
      </x:c>
      <x:c r="D5" s="27" t="str">
        <x:f>IF(B5&gt;=0.9,"Green","Needs attention")</x:f>
        <x:v>Green</x:v>
      </x:c>
    </x:row>
    <x:row r="6">
      <x:c r="A6" s="26" t="str">
        <x:v>DSD Execution Score</x:v>
      </x:c>
      <x:c r="B6" s="33" t="n">
        <x:f>ROUND(AVERAGE(Store_KPIs!G2:G25),1)</x:f>
        <x:v>95.6</x:v>
      </x:c>
      <x:c r="C6" s="27" t="str">
        <x:v>&gt;=92</x:v>
      </x:c>
      <x:c r="D6" s="27" t="str">
        <x:f>IF(B6&gt;=92,"Green","Needs attention")</x:f>
        <x:v>Green</x:v>
      </x:c>
    </x:row>
    <x:row r="7">
      <x:c r="A7" s="26" t="str">
        <x:v>Exception Rate</x:v>
      </x:c>
      <x:c r="B7" s="31" t="n">
        <x:f>ROUND(AVERAGE(PO_Automation!K2:K31),3)</x:f>
        <x:v>0.1</x:v>
      </x:c>
      <x:c r="C7" s="27" t="str">
        <x:v>&lt;=15%</x:v>
      </x:c>
      <x:c r="D7" s="27" t="str">
        <x:f>IF(B7&lt;=0.15,"Green","Needs attention")</x:f>
        <x:v>Green</x:v>
      </x:c>
    </x:row>
    <x:row r="8">
      <x:c r="A8" s="26" t="str">
        <x:v>Duplicate Flag Rate</x:v>
      </x:c>
      <x:c r="B8" s="31" t="n">
        <x:f>ROUND(AVERAGE(PO_Automation!L2:L31),3)</x:f>
        <x:v>0.033</x:v>
      </x:c>
      <x:c r="C8" s="27" t="str">
        <x:v>&lt;=5%</x:v>
      </x:c>
      <x:c r="D8" s="27" t="str">
        <x:f>IF(B8&lt;=0.05,"Green","Needs attention")</x:f>
        <x:v>Green</x:v>
      </x:c>
    </x:row>
    <x:row r="9">
      <x:c r="A9" s="26" t="str">
        <x:v>Avg PO Aging Days</x:v>
      </x:c>
      <x:c r="B9" s="33" t="n">
        <x:f>ROUND(AVERAGE(PO_Automation!H2:H31),1)</x:f>
        <x:v>1.4</x:v>
      </x:c>
      <x:c r="C9" s="27" t="str">
        <x:v>&lt;=3.0</x:v>
      </x:c>
      <x:c r="D9" s="27" t="str">
        <x:f>IF(B9&lt;=3,"Green","Needs attention")</x:f>
        <x:v>Green</x:v>
      </x:c>
    </x:row>
    <x:row r="11">
      <x:c r="A11" s="17" t="str">
        <x:v>Portfolio Interpretation</x:v>
      </x:c>
    </x:row>
    <x:row r="12" ht="28" customHeight="1">
      <x:c r="A12" s="36" t="str">
        <x:v>This workbook is a simulated operating dashboard. It demonstrates how DSD execution, PO entry, aging, exceptions, and duplicate risks can be structured for a weekly leadership review. The fictional account names and values are synthetic so the file can be safely shared in a public GitHub portfolio.</x:v>
      </x:c>
    </x:row>
    <x:row r="13" ht="28" customHeight="1"/>
    <x:row r="14" ht="28" customHeight="1"/>
    <x:row r="15" ht="28" customHeight="1"/>
  </x:sheetData>
  <x:mergeCells>
    <x:mergeCell ref="A1:H1"/>
    <x:mergeCell ref="A2:H2"/>
    <x:mergeCell ref="A11:H11"/>
    <x:mergeCell ref="A12:H15"/>
  </x:mergeCells>
  <x:pageMargins left="0.7" right="0.7" top="0.75" bottom="0.75" header="0.3" footer="0.3"/>
  <x:drawing xmlns:r="http://schemas.openxmlformats.org/officeDocument/2006/relationships" r:id="R2aa04f625fc34304"/>
</x:worksheet>
</file>

<file path=xl/worksheets/sheet2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20" hidden="0" customWidth="1"/>
    <x:col min="3" max="3" width="9.130000114440918" hidden="0" customWidth="1"/>
    <x:col min="4" max="4" width="7.880000114440918" hidden="0" customWidth="1"/>
    <x:col min="5" max="5" width="11" hidden="0" customWidth="1"/>
    <x:col min="6" max="6" width="19.25" hidden="0" customWidth="1"/>
    <x:col min="7" max="7" width="18.6299991607666" hidden="0" customWidth="1"/>
    <x:col min="8" max="8" width="12" hidden="0" customWidth="1"/>
    <x:col min="9" max="9" width="24" hidden="0" customWidth="1"/>
  </x:cols>
  <x:sheetData>
    <x:row r="1">
      <x:c r="A1" s="45" t="str">
        <x:v>Week</x:v>
      </x:c>
      <x:c r="B1" s="45" t="str">
        <x:v>Account</x:v>
      </x:c>
      <x:c r="C1" s="45" t="str">
        <x:v>Region</x:v>
      </x:c>
      <x:c r="D1" s="45" t="str">
        <x:v>Stores</x:v>
      </x:c>
      <x:c r="E1" s="45" t="str">
        <x:v>In-Stock %</x:v>
      </x:c>
      <x:c r="F1" s="45" t="str">
        <x:v>Promo Compliance %</x:v>
      </x:c>
      <x:c r="G1" s="45" t="str">
        <x:v>DSD Execution Score</x:v>
      </x:c>
      <x:c r="H1" s="45" t="str">
        <x:v>Service Risk</x:v>
      </x:c>
      <x:c r="I1" s="45" t="str">
        <x:v>Action Needed</x:v>
      </x:c>
    </x:row>
    <x:row r="2">
      <x:c r="A2" s="46" t="n">
        <x:v>46027</x:v>
      </x:c>
      <x:c r="B2" s="47" t="str">
        <x:v>Northlake Grocers</x:v>
      </x:c>
      <x:c r="C2" s="47" t="str">
        <x:v>Midwest</x:v>
      </x:c>
      <x:c r="D2" s="47" t="n">
        <x:v>43</x:v>
      </x:c>
      <x:c r="E2" s="48" t="n">
        <x:v>0.968</x:v>
      </x:c>
      <x:c r="F2" s="48" t="n">
        <x:v>0.945</x:v>
      </x:c>
      <x:c r="G2" s="49" t="n">
        <x:v>95.9</x:v>
      </x:c>
      <x:c r="H2" s="47" t="str">
        <x:v>Low</x:v>
      </x:c>
      <x:c r="I2" s="47" t="str">
        <x:v>Maintain cadence</x:v>
      </x:c>
    </x:row>
    <x:row r="3">
      <x:c r="A3" s="46" t="n">
        <x:v>46034</x:v>
      </x:c>
      <x:c r="B3" s="47" t="str">
        <x:v>MetroMart</x:v>
      </x:c>
      <x:c r="C3" s="47" t="str">
        <x:v>Great Lakes</x:v>
      </x:c>
      <x:c r="D3" s="47" t="n">
        <x:v>34</x:v>
      </x:c>
      <x:c r="E3" s="48" t="n">
        <x:v>0.975</x:v>
      </x:c>
      <x:c r="F3" s="48" t="n">
        <x:v>0.969</x:v>
      </x:c>
      <x:c r="G3" s="49" t="n">
        <x:v>96.5</x:v>
      </x:c>
      <x:c r="H3" s="47" t="str">
        <x:v>Low</x:v>
      </x:c>
      <x:c r="I3" s="47" t="str">
        <x:v>Maintain cadence</x:v>
      </x:c>
    </x:row>
    <x:row r="4">
      <x:c r="A4" s="46" t="n">
        <x:v>46041</x:v>
      </x:c>
      <x:c r="B4" s="47" t="str">
        <x:v>Horizon Retail</x:v>
      </x:c>
      <x:c r="C4" s="47" t="str">
        <x:v>Central</x:v>
      </x:c>
      <x:c r="D4" s="47" t="n">
        <x:v>82</x:v>
      </x:c>
      <x:c r="E4" s="48" t="n">
        <x:v>0.936</x:v>
      </x:c>
      <x:c r="F4" s="48" t="n">
        <x:v>0.945</x:v>
      </x:c>
      <x:c r="G4" s="49" t="n">
        <x:v>93.7</x:v>
      </x:c>
      <x:c r="H4" s="47" t="str">
        <x:v>Low</x:v>
      </x:c>
      <x:c r="I4" s="47" t="str">
        <x:v>Maintain cadence</x:v>
      </x:c>
    </x:row>
    <x:row r="5">
      <x:c r="A5" s="46" t="n">
        <x:v>46048</x:v>
      </x:c>
      <x:c r="B5" s="47" t="str">
        <x:v>Summit Foods</x:v>
      </x:c>
      <x:c r="C5" s="47" t="str">
        <x:v>East</x:v>
      </x:c>
      <x:c r="D5" s="47" t="n">
        <x:v>70</x:v>
      </x:c>
      <x:c r="E5" s="48" t="n">
        <x:v>0.972</x:v>
      </x:c>
      <x:c r="F5" s="48" t="n">
        <x:v>0.929</x:v>
      </x:c>
      <x:c r="G5" s="49" t="n">
        <x:v>95.6</x:v>
      </x:c>
      <x:c r="H5" s="47" t="str">
        <x:v>Low</x:v>
      </x:c>
      <x:c r="I5" s="47" t="str">
        <x:v>Maintain cadence</x:v>
      </x:c>
    </x:row>
    <x:row r="6">
      <x:c r="A6" s="46" t="n">
        <x:v>46055</x:v>
      </x:c>
      <x:c r="B6" s="47" t="str">
        <x:v>FreshPoint Market</x:v>
      </x:c>
      <x:c r="C6" s="47" t="str">
        <x:v>Midwest</x:v>
      </x:c>
      <x:c r="D6" s="47" t="n">
        <x:v>21</x:v>
      </x:c>
      <x:c r="E6" s="48" t="n">
        <x:v>0.968</x:v>
      </x:c>
      <x:c r="F6" s="48" t="n">
        <x:v>0.975</x:v>
      </x:c>
      <x:c r="G6" s="49" t="n">
        <x:v>96.6</x:v>
      </x:c>
      <x:c r="H6" s="47" t="str">
        <x:v>Low</x:v>
      </x:c>
      <x:c r="I6" s="47" t="str">
        <x:v>Maintain cadence</x:v>
      </x:c>
    </x:row>
    <x:row r="7">
      <x:c r="A7" s="46" t="n">
        <x:v>46062</x:v>
      </x:c>
      <x:c r="B7" s="47" t="str">
        <x:v>Lakeside Specialty</x:v>
      </x:c>
      <x:c r="C7" s="47" t="str">
        <x:v>Great Lakes</x:v>
      </x:c>
      <x:c r="D7" s="47" t="n">
        <x:v>45</x:v>
      </x:c>
      <x:c r="E7" s="48" t="n">
        <x:v>0.964</x:v>
      </x:c>
      <x:c r="F7" s="48" t="n">
        <x:v>0.974</x:v>
      </x:c>
      <x:c r="G7" s="49" t="n">
        <x:v>98</x:v>
      </x:c>
      <x:c r="H7" s="47" t="str">
        <x:v>Low</x:v>
      </x:c>
      <x:c r="I7" s="47" t="str">
        <x:v>Maintain cadence</x:v>
      </x:c>
    </x:row>
    <x:row r="8">
      <x:c r="A8" s="46" t="n">
        <x:v>46069</x:v>
      </x:c>
      <x:c r="B8" s="47" t="str">
        <x:v>Northlake Grocers</x:v>
      </x:c>
      <x:c r="C8" s="47" t="str">
        <x:v>Central</x:v>
      </x:c>
      <x:c r="D8" s="47" t="n">
        <x:v>64</x:v>
      </x:c>
      <x:c r="E8" s="48" t="n">
        <x:v>0.941</x:v>
      </x:c>
      <x:c r="F8" s="48" t="n">
        <x:v>0.956</x:v>
      </x:c>
      <x:c r="G8" s="49" t="n">
        <x:v>94.1</x:v>
      </x:c>
      <x:c r="H8" s="47" t="str">
        <x:v>Low</x:v>
      </x:c>
      <x:c r="I8" s="47" t="str">
        <x:v>Maintain cadence</x:v>
      </x:c>
    </x:row>
    <x:row r="9">
      <x:c r="A9" s="46" t="n">
        <x:v>46076</x:v>
      </x:c>
      <x:c r="B9" s="47" t="str">
        <x:v>MetroMart</x:v>
      </x:c>
      <x:c r="C9" s="47" t="str">
        <x:v>East</x:v>
      </x:c>
      <x:c r="D9" s="47" t="n">
        <x:v>55</x:v>
      </x:c>
      <x:c r="E9" s="48" t="n">
        <x:v>0.98</x:v>
      </x:c>
      <x:c r="F9" s="48" t="n">
        <x:v>0.953</x:v>
      </x:c>
      <x:c r="G9" s="49" t="n">
        <x:v>96.9</x:v>
      </x:c>
      <x:c r="H9" s="47" t="str">
        <x:v>Low</x:v>
      </x:c>
      <x:c r="I9" s="47" t="str">
        <x:v>Maintain cadence</x:v>
      </x:c>
    </x:row>
    <x:row r="10">
      <x:c r="A10" s="46" t="n">
        <x:v>46083</x:v>
      </x:c>
      <x:c r="B10" s="47" t="str">
        <x:v>Horizon Retail</x:v>
      </x:c>
      <x:c r="C10" s="47" t="str">
        <x:v>Midwest</x:v>
      </x:c>
      <x:c r="D10" s="47" t="n">
        <x:v>18</x:v>
      </x:c>
      <x:c r="E10" s="48" t="n">
        <x:v>0.955</x:v>
      </x:c>
      <x:c r="F10" s="48" t="n">
        <x:v>0.961</x:v>
      </x:c>
      <x:c r="G10" s="49" t="n">
        <x:v>95.6</x:v>
      </x:c>
      <x:c r="H10" s="47" t="str">
        <x:v>Low</x:v>
      </x:c>
      <x:c r="I10" s="47" t="str">
        <x:v>Maintain cadence</x:v>
      </x:c>
    </x:row>
    <x:row r="11">
      <x:c r="A11" s="46" t="n">
        <x:v>46090</x:v>
      </x:c>
      <x:c r="B11" s="47" t="str">
        <x:v>Summit Foods</x:v>
      </x:c>
      <x:c r="C11" s="47" t="str">
        <x:v>Great Lakes</x:v>
      </x:c>
      <x:c r="D11" s="47" t="n">
        <x:v>58</x:v>
      </x:c>
      <x:c r="E11" s="48" t="n">
        <x:v>0.98</x:v>
      </x:c>
      <x:c r="F11" s="48" t="n">
        <x:v>0.945</x:v>
      </x:c>
      <x:c r="G11" s="49" t="n">
        <x:v>97.1</x:v>
      </x:c>
      <x:c r="H11" s="47" t="str">
        <x:v>Low</x:v>
      </x:c>
      <x:c r="I11" s="47" t="str">
        <x:v>Maintain cadence</x:v>
      </x:c>
    </x:row>
    <x:row r="12">
      <x:c r="A12" s="46" t="n">
        <x:v>46097</x:v>
      </x:c>
      <x:c r="B12" s="47" t="str">
        <x:v>FreshPoint Market</x:v>
      </x:c>
      <x:c r="C12" s="47" t="str">
        <x:v>Central</x:v>
      </x:c>
      <x:c r="D12" s="47" t="n">
        <x:v>43</x:v>
      </x:c>
      <x:c r="E12" s="48" t="n">
        <x:v>0.929</x:v>
      </x:c>
      <x:c r="F12" s="48" t="n">
        <x:v>0.982</x:v>
      </x:c>
      <x:c r="G12" s="49" t="n">
        <x:v>95.1</x:v>
      </x:c>
      <x:c r="H12" s="47" t="str">
        <x:v>Low</x:v>
      </x:c>
      <x:c r="I12" s="47" t="str">
        <x:v>Maintain cadence</x:v>
      </x:c>
    </x:row>
    <x:row r="13">
      <x:c r="A13" s="46" t="n">
        <x:v>46104</x:v>
      </x:c>
      <x:c r="B13" s="47" t="str">
        <x:v>Lakeside Specialty</x:v>
      </x:c>
      <x:c r="C13" s="47" t="str">
        <x:v>East</x:v>
      </x:c>
      <x:c r="D13" s="47" t="n">
        <x:v>67</x:v>
      </x:c>
      <x:c r="E13" s="48" t="n">
        <x:v>0.981</x:v>
      </x:c>
      <x:c r="F13" s="48" t="n">
        <x:v>0.957</x:v>
      </x:c>
      <x:c r="G13" s="49" t="n">
        <x:v>96.4</x:v>
      </x:c>
      <x:c r="H13" s="47" t="str">
        <x:v>Low</x:v>
      </x:c>
      <x:c r="I13" s="47" t="str">
        <x:v>Maintain cadence</x:v>
      </x:c>
    </x:row>
    <x:row r="14">
      <x:c r="A14" s="46" t="n">
        <x:v>46111</x:v>
      </x:c>
      <x:c r="B14" s="47" t="str">
        <x:v>Northlake Grocers</x:v>
      </x:c>
      <x:c r="C14" s="47" t="str">
        <x:v>Midwest</x:v>
      </x:c>
      <x:c r="D14" s="47" t="n">
        <x:v>30</x:v>
      </x:c>
      <x:c r="E14" s="48" t="n">
        <x:v>0.93</x:v>
      </x:c>
      <x:c r="F14" s="48" t="n">
        <x:v>0.953</x:v>
      </x:c>
      <x:c r="G14" s="49" t="n">
        <x:v>94.8</x:v>
      </x:c>
      <x:c r="H14" s="47" t="str">
        <x:v>Low</x:v>
      </x:c>
      <x:c r="I14" s="47" t="str">
        <x:v>Maintain cadence</x:v>
      </x:c>
    </x:row>
    <x:row r="15">
      <x:c r="A15" s="46" t="n">
        <x:v>46118</x:v>
      </x:c>
      <x:c r="B15" s="47" t="str">
        <x:v>MetroMart</x:v>
      </x:c>
      <x:c r="C15" s="47" t="str">
        <x:v>Great Lakes</x:v>
      </x:c>
      <x:c r="D15" s="47" t="n">
        <x:v>23</x:v>
      </x:c>
      <x:c r="E15" s="48" t="n">
        <x:v>0.928</x:v>
      </x:c>
      <x:c r="F15" s="48" t="n">
        <x:v>0.93</x:v>
      </x:c>
      <x:c r="G15" s="49" t="n">
        <x:v>93.3</x:v>
      </x:c>
      <x:c r="H15" s="47" t="str">
        <x:v>Low</x:v>
      </x:c>
      <x:c r="I15" s="47" t="str">
        <x:v>Maintain cadence</x:v>
      </x:c>
    </x:row>
    <x:row r="16">
      <x:c r="A16" s="46" t="n">
        <x:v>46125</x:v>
      </x:c>
      <x:c r="B16" s="47" t="str">
        <x:v>Horizon Retail</x:v>
      </x:c>
      <x:c r="C16" s="47" t="str">
        <x:v>Central</x:v>
      </x:c>
      <x:c r="D16" s="47" t="n">
        <x:v>29</x:v>
      </x:c>
      <x:c r="E16" s="48" t="n">
        <x:v>0.981</x:v>
      </x:c>
      <x:c r="F16" s="48" t="n">
        <x:v>0.938</x:v>
      </x:c>
      <x:c r="G16" s="49" t="n">
        <x:v>96</x:v>
      </x:c>
      <x:c r="H16" s="47" t="str">
        <x:v>Low</x:v>
      </x:c>
      <x:c r="I16" s="47" t="str">
        <x:v>Maintain cadence</x:v>
      </x:c>
    </x:row>
    <x:row r="17">
      <x:c r="A17" s="46" t="n">
        <x:v>46132</x:v>
      </x:c>
      <x:c r="B17" s="47" t="str">
        <x:v>Summit Foods</x:v>
      </x:c>
      <x:c r="C17" s="47" t="str">
        <x:v>East</x:v>
      </x:c>
      <x:c r="D17" s="47" t="n">
        <x:v>23</x:v>
      </x:c>
      <x:c r="E17" s="48" t="n">
        <x:v>0.986</x:v>
      </x:c>
      <x:c r="F17" s="48" t="n">
        <x:v>0.964</x:v>
      </x:c>
      <x:c r="G17" s="49" t="n">
        <x:v>97.9</x:v>
      </x:c>
      <x:c r="H17" s="47" t="str">
        <x:v>Low</x:v>
      </x:c>
      <x:c r="I17" s="47" t="str">
        <x:v>Maintain cadence</x:v>
      </x:c>
    </x:row>
    <x:row r="18">
      <x:c r="A18" s="46" t="n">
        <x:v>46139</x:v>
      </x:c>
      <x:c r="B18" s="47" t="str">
        <x:v>FreshPoint Market</x:v>
      </x:c>
      <x:c r="C18" s="47" t="str">
        <x:v>Midwest</x:v>
      </x:c>
      <x:c r="D18" s="47" t="n">
        <x:v>23</x:v>
      </x:c>
      <x:c r="E18" s="48" t="n">
        <x:v>0.948</x:v>
      </x:c>
      <x:c r="F18" s="48" t="n">
        <x:v>0.962</x:v>
      </x:c>
      <x:c r="G18" s="49" t="n">
        <x:v>96.3</x:v>
      </x:c>
      <x:c r="H18" s="47" t="str">
        <x:v>Low</x:v>
      </x:c>
      <x:c r="I18" s="47" t="str">
        <x:v>Maintain cadence</x:v>
      </x:c>
    </x:row>
    <x:row r="19">
      <x:c r="A19" s="46" t="n">
        <x:v>46146</x:v>
      </x:c>
      <x:c r="B19" s="47" t="str">
        <x:v>Lakeside Specialty</x:v>
      </x:c>
      <x:c r="C19" s="47" t="str">
        <x:v>Great Lakes</x:v>
      </x:c>
      <x:c r="D19" s="47" t="n">
        <x:v>35</x:v>
      </x:c>
      <x:c r="E19" s="48" t="n">
        <x:v>0.969</x:v>
      </x:c>
      <x:c r="F19" s="48" t="n">
        <x:v>0.934</x:v>
      </x:c>
      <x:c r="G19" s="49" t="n">
        <x:v>96.1</x:v>
      </x:c>
      <x:c r="H19" s="47" t="str">
        <x:v>Low</x:v>
      </x:c>
      <x:c r="I19" s="47" t="str">
        <x:v>Maintain cadence</x:v>
      </x:c>
    </x:row>
    <x:row r="20">
      <x:c r="A20" s="46" t="n">
        <x:v>46153</x:v>
      </x:c>
      <x:c r="B20" s="47" t="str">
        <x:v>Northlake Grocers</x:v>
      </x:c>
      <x:c r="C20" s="47" t="str">
        <x:v>Central</x:v>
      </x:c>
      <x:c r="D20" s="47" t="n">
        <x:v>73</x:v>
      </x:c>
      <x:c r="E20" s="48" t="n">
        <x:v>0.948</x:v>
      </x:c>
      <x:c r="F20" s="48" t="n">
        <x:v>0.948</x:v>
      </x:c>
      <x:c r="G20" s="49" t="n">
        <x:v>94.8</x:v>
      </x:c>
      <x:c r="H20" s="47" t="str">
        <x:v>Low</x:v>
      </x:c>
      <x:c r="I20" s="47" t="str">
        <x:v>Maintain cadence</x:v>
      </x:c>
    </x:row>
    <x:row r="21">
      <x:c r="A21" s="46" t="n">
        <x:v>46160</x:v>
      </x:c>
      <x:c r="B21" s="47" t="str">
        <x:v>MetroMart</x:v>
      </x:c>
      <x:c r="C21" s="47" t="str">
        <x:v>East</x:v>
      </x:c>
      <x:c r="D21" s="47" t="n">
        <x:v>22</x:v>
      </x:c>
      <x:c r="E21" s="48" t="n">
        <x:v>0.988</x:v>
      </x:c>
      <x:c r="F21" s="48" t="n">
        <x:v>0.926</x:v>
      </x:c>
      <x:c r="G21" s="49" t="n">
        <x:v>94.9</x:v>
      </x:c>
      <x:c r="H21" s="47" t="str">
        <x:v>Low</x:v>
      </x:c>
      <x:c r="I21" s="47" t="str">
        <x:v>Maintain cadence</x:v>
      </x:c>
    </x:row>
    <x:row r="22">
      <x:c r="A22" s="46" t="n">
        <x:v>46167</x:v>
      </x:c>
      <x:c r="B22" s="47" t="str">
        <x:v>Horizon Retail</x:v>
      </x:c>
      <x:c r="C22" s="47" t="str">
        <x:v>Midwest</x:v>
      </x:c>
      <x:c r="D22" s="47" t="n">
        <x:v>32</x:v>
      </x:c>
      <x:c r="E22" s="48" t="n">
        <x:v>0.988</x:v>
      </x:c>
      <x:c r="F22" s="48" t="n">
        <x:v>0.958</x:v>
      </x:c>
      <x:c r="G22" s="49" t="n">
        <x:v>98.1</x:v>
      </x:c>
      <x:c r="H22" s="47" t="str">
        <x:v>Low</x:v>
      </x:c>
      <x:c r="I22" s="47" t="str">
        <x:v>Maintain cadence</x:v>
      </x:c>
    </x:row>
    <x:row r="23">
      <x:c r="A23" s="46" t="n">
        <x:v>46174</x:v>
      </x:c>
      <x:c r="B23" s="47" t="str">
        <x:v>Summit Foods</x:v>
      </x:c>
      <x:c r="C23" s="47" t="str">
        <x:v>Great Lakes</x:v>
      </x:c>
      <x:c r="D23" s="47" t="n">
        <x:v>78</x:v>
      </x:c>
      <x:c r="E23" s="48" t="n">
        <x:v>0.927</x:v>
      </x:c>
      <x:c r="F23" s="48" t="n">
        <x:v>0.928</x:v>
      </x:c>
      <x:c r="G23" s="49" t="n">
        <x:v>93.2</x:v>
      </x:c>
      <x:c r="H23" s="47" t="str">
        <x:v>Low</x:v>
      </x:c>
      <x:c r="I23" s="47" t="str">
        <x:v>Maintain cadence</x:v>
      </x:c>
    </x:row>
    <x:row r="24">
      <x:c r="A24" s="46" t="n">
        <x:v>46181</x:v>
      </x:c>
      <x:c r="B24" s="47" t="str">
        <x:v>FreshPoint Market</x:v>
      </x:c>
      <x:c r="C24" s="47" t="str">
        <x:v>Central</x:v>
      </x:c>
      <x:c r="D24" s="47" t="n">
        <x:v>20</x:v>
      </x:c>
      <x:c r="E24" s="48" t="n">
        <x:v>0.978</x:v>
      </x:c>
      <x:c r="F24" s="48" t="n">
        <x:v>0.918</x:v>
      </x:c>
      <x:c r="G24" s="49" t="n">
        <x:v>95.9</x:v>
      </x:c>
      <x:c r="H24" s="47" t="str">
        <x:v>Low</x:v>
      </x:c>
      <x:c r="I24" s="47" t="str">
        <x:v>Maintain cadence</x:v>
      </x:c>
    </x:row>
    <x:row r="25">
      <x:c r="A25" s="46" t="n">
        <x:v>46188</x:v>
      </x:c>
      <x:c r="B25" s="47" t="str">
        <x:v>Lakeside Specialty</x:v>
      </x:c>
      <x:c r="C25" s="47" t="str">
        <x:v>East</x:v>
      </x:c>
      <x:c r="D25" s="47" t="n">
        <x:v>38</x:v>
      </x:c>
      <x:c r="E25" s="48" t="n">
        <x:v>0.929</x:v>
      </x:c>
      <x:c r="F25" s="48" t="n">
        <x:v>0.927</x:v>
      </x:c>
      <x:c r="G25" s="49" t="n">
        <x:v>92.2</x:v>
      </x:c>
      <x:c r="H25" s="47" t="str">
        <x:v>Low</x:v>
      </x:c>
      <x:c r="I25" s="47" t="str">
        <x:v>Maintain cadence</x:v>
      </x:c>
    </x:row>
  </x:sheetData>
  <x:conditionalFormatting sqref="G2:G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95fecdbe63f44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8.630000114440918" hidden="0" customWidth="1"/>
    <x:col min="3" max="3" width="20" hidden="0" customWidth="1"/>
    <x:col min="4" max="4" width="12.25" hidden="0" customWidth="1"/>
    <x:col min="5" max="5" width="7.75" hidden="0" customWidth="1"/>
    <x:col min="6" max="6" width="24" hidden="0" customWidth="1"/>
    <x:col min="7" max="7" width="13" hidden="0" customWidth="1"/>
    <x:col min="8" max="8" width="11.380000114440918" hidden="0" customWidth="1"/>
    <x:col min="9" max="9" width="13" hidden="0" customWidth="1"/>
    <x:col min="10" max="10" width="13" hidden="0" customWidth="1"/>
    <x:col min="11" max="11" width="14" hidden="0" customWidth="1"/>
    <x:col min="12" max="12" width="13.75" hidden="0" customWidth="1"/>
  </x:cols>
  <x:sheetData>
    <x:row r="1">
      <x:c r="A1" s="45" t="str">
        <x:v>Received Date</x:v>
      </x:c>
      <x:c r="B1" s="45" t="str">
        <x:v>PO #</x:v>
      </x:c>
      <x:c r="C1" s="45" t="str">
        <x:v>Account</x:v>
      </x:c>
      <x:c r="D1" s="45" t="str">
        <x:v>Owner</x:v>
      </x:c>
      <x:c r="E1" s="45" t="str">
        <x:v>Status</x:v>
      </x:c>
      <x:c r="F1" s="45" t="str">
        <x:v>Exception Reason</x:v>
      </x:c>
      <x:c r="G1" s="45" t="str">
        <x:v>Entered Date</x:v>
      </x:c>
      <x:c r="H1" s="45" t="str">
        <x:v>Aging Days</x:v>
      </x:c>
      <x:c r="I1" s="45" t="str">
        <x:v>Due Window</x:v>
      </x:c>
      <x:c r="J1" s="45" t="str">
        <x:v>On-Time Flag</x:v>
      </x:c>
      <x:c r="K1" s="45" t="str">
        <x:v>Exception Flag</x:v>
      </x:c>
      <x:c r="L1" s="45" t="str">
        <x:v>Duplicate Flag</x:v>
      </x:c>
    </x:row>
    <x:row r="2">
      <x:c r="A2" s="46" t="n">
        <x:v>46143</x:v>
      </x:c>
      <x:c r="B2" s="47" t="str">
        <x:v>SIM-26000</x:v>
      </x:c>
      <x:c r="C2" s="47" t="str">
        <x:v>Northlake Grocers</x:v>
      </x:c>
      <x:c r="D2" s="47" t="str">
        <x:v>Ops Specialist A</x:v>
      </x:c>
      <x:c r="E2" s="47" t="str">
        <x:v>Entered</x:v>
      </x:c>
      <x:c r="F2" s="47" t="str">
        <x:v>None</x:v>
      </x:c>
      <x:c r="G2" s="46" t="n">
        <x:v>46143</x:v>
      </x:c>
      <x:c r="H2" s="47" t="n">
        <x:v>0</x:v>
      </x:c>
      <x:c r="I2" s="47" t="str">
        <x:v>Within target</x:v>
      </x:c>
      <x:c r="J2" s="57" t="n">
        <x:v>1</x:v>
      </x:c>
      <x:c r="K2" s="57" t="n">
        <x:v>0</x:v>
      </x:c>
      <x:c r="L2" s="57" t="n">
        <x:v>0</x:v>
      </x:c>
    </x:row>
    <x:row r="3">
      <x:c r="A3" s="46" t="n">
        <x:v>46144</x:v>
      </x:c>
      <x:c r="B3" s="47" t="str">
        <x:v>SIM-26001</x:v>
      </x:c>
      <x:c r="C3" s="47" t="str">
        <x:v>MetroMart</x:v>
      </x:c>
      <x:c r="D3" s="47" t="str">
        <x:v>PO Entry B</x:v>
      </x:c>
      <x:c r="E3" s="47" t="str">
        <x:v>Entered</x:v>
      </x:c>
      <x:c r="F3" s="47" t="str">
        <x:v>None</x:v>
      </x:c>
      <x:c r="G3" s="46" t="n">
        <x:v>46145</x:v>
      </x:c>
      <x:c r="H3" s="47" t="n">
        <x:v>1</x:v>
      </x:c>
      <x:c r="I3" s="47" t="str">
        <x:v>Within target</x:v>
      </x:c>
      <x:c r="J3" s="57" t="n">
        <x:v>1</x:v>
      </x:c>
      <x:c r="K3" s="57" t="n">
        <x:v>0</x:v>
      </x:c>
      <x:c r="L3" s="57" t="n">
        <x:v>0</x:v>
      </x:c>
    </x:row>
    <x:row r="4">
      <x:c r="A4" s="46" t="n">
        <x:v>46145</x:v>
      </x:c>
      <x:c r="B4" s="47" t="str">
        <x:v>SIM-26002</x:v>
      </x:c>
      <x:c r="C4" s="47" t="str">
        <x:v>Horizon Retail</x:v>
      </x:c>
      <x:c r="D4" s="47" t="str">
        <x:v>Sales Ops C</x:v>
      </x:c>
      <x:c r="E4" s="47" t="str">
        <x:v>Entered</x:v>
      </x:c>
      <x:c r="F4" s="47" t="str">
        <x:v>None</x:v>
      </x:c>
      <x:c r="G4" s="46" t="n">
        <x:v>46147</x:v>
      </x:c>
      <x:c r="H4" s="47" t="n">
        <x:v>2</x:v>
      </x:c>
      <x:c r="I4" s="47" t="str">
        <x:v>Within target</x:v>
      </x:c>
      <x:c r="J4" s="57" t="n">
        <x:v>1</x:v>
      </x:c>
      <x:c r="K4" s="57" t="n">
        <x:v>0</x:v>
      </x:c>
      <x:c r="L4" s="57" t="n">
        <x:v>0</x:v>
      </x:c>
    </x:row>
    <x:row r="5">
      <x:c r="A5" s="46" t="n">
        <x:v>46146</x:v>
      </x:c>
      <x:c r="B5" s="47" t="str">
        <x:v>SIM-26003</x:v>
      </x:c>
      <x:c r="C5" s="47" t="str">
        <x:v>Summit Foods</x:v>
      </x:c>
      <x:c r="D5" s="47" t="str">
        <x:v>Ops Specialist A</x:v>
      </x:c>
      <x:c r="E5" s="47" t="str">
        <x:v>Entered</x:v>
      </x:c>
      <x:c r="F5" s="47" t="str">
        <x:v>None</x:v>
      </x:c>
      <x:c r="G5" s="46" t="n">
        <x:v>46146</x:v>
      </x:c>
      <x:c r="H5" s="47" t="n">
        <x:v>0</x:v>
      </x:c>
      <x:c r="I5" s="47" t="str">
        <x:v>Within target</x:v>
      </x:c>
      <x:c r="J5" s="57" t="n">
        <x:v>1</x:v>
      </x:c>
      <x:c r="K5" s="57" t="n">
        <x:v>0</x:v>
      </x:c>
      <x:c r="L5" s="57" t="n">
        <x:v>0</x:v>
      </x:c>
    </x:row>
    <x:row r="6">
      <x:c r="A6" s="46" t="n">
        <x:v>46147</x:v>
      </x:c>
      <x:c r="B6" s="47" t="str">
        <x:v>SIM-26004</x:v>
      </x:c>
      <x:c r="C6" s="47" t="str">
        <x:v>FreshPoint Market</x:v>
      </x:c>
      <x:c r="D6" s="47" t="str">
        <x:v>PO Entry B</x:v>
      </x:c>
      <x:c r="E6" s="47" t="str">
        <x:v>Entered</x:v>
      </x:c>
      <x:c r="F6" s="47" t="str">
        <x:v>None</x:v>
      </x:c>
      <x:c r="G6" s="46" t="n">
        <x:v>46148</x:v>
      </x:c>
      <x:c r="H6" s="47" t="n">
        <x:v>1</x:v>
      </x:c>
      <x:c r="I6" s="47" t="str">
        <x:v>Within target</x:v>
      </x:c>
      <x:c r="J6" s="57" t="n">
        <x:v>1</x:v>
      </x:c>
      <x:c r="K6" s="57" t="n">
        <x:v>0</x:v>
      </x:c>
      <x:c r="L6" s="57" t="n">
        <x:v>0</x:v>
      </x:c>
    </x:row>
    <x:row r="7">
      <x:c r="A7" s="46" t="n">
        <x:v>46148</x:v>
      </x:c>
      <x:c r="B7" s="47" t="str">
        <x:v>SIM-26005</x:v>
      </x:c>
      <x:c r="C7" s="47" t="str">
        <x:v>Lakeside Specialty</x:v>
      </x:c>
      <x:c r="D7" s="47" t="str">
        <x:v>Sales Ops C</x:v>
      </x:c>
      <x:c r="E7" s="47" t="str">
        <x:v>Entered</x:v>
      </x:c>
      <x:c r="F7" s="47" t="str">
        <x:v>None</x:v>
      </x:c>
      <x:c r="G7" s="46" t="n">
        <x:v>46150</x:v>
      </x:c>
      <x:c r="H7" s="47" t="n">
        <x:v>2</x:v>
      </x:c>
      <x:c r="I7" s="47" t="str">
        <x:v>Within target</x:v>
      </x:c>
      <x:c r="J7" s="57" t="n">
        <x:v>1</x:v>
      </x:c>
      <x:c r="K7" s="57" t="n">
        <x:v>0</x:v>
      </x:c>
      <x:c r="L7" s="57" t="n">
        <x:v>0</x:v>
      </x:c>
    </x:row>
    <x:row r="8">
      <x:c r="A8" s="46" t="n">
        <x:v>46149</x:v>
      </x:c>
      <x:c r="B8" s="47" t="str">
        <x:v>SIM-26006</x:v>
      </x:c>
      <x:c r="C8" s="47" t="str">
        <x:v>Northlake Grocers</x:v>
      </x:c>
      <x:c r="D8" s="47" t="str">
        <x:v>Ops Specialist A</x:v>
      </x:c>
      <x:c r="E8" s="47" t="str">
        <x:v>Entered</x:v>
      </x:c>
      <x:c r="F8" s="47" t="str">
        <x:v>None</x:v>
      </x:c>
      <x:c r="G8" s="46" t="n">
        <x:v>46149</x:v>
      </x:c>
      <x:c r="H8" s="47" t="n">
        <x:v>0</x:v>
      </x:c>
      <x:c r="I8" s="47" t="str">
        <x:v>Within target</x:v>
      </x:c>
      <x:c r="J8" s="57" t="n">
        <x:v>1</x:v>
      </x:c>
      <x:c r="K8" s="57" t="n">
        <x:v>0</x:v>
      </x:c>
      <x:c r="L8" s="57" t="n">
        <x:v>0</x:v>
      </x:c>
    </x:row>
    <x:row r="9">
      <x:c r="A9" s="46" t="n">
        <x:v>46150</x:v>
      </x:c>
      <x:c r="B9" s="47" t="str">
        <x:v>SIM-26007</x:v>
      </x:c>
      <x:c r="C9" s="47" t="str">
        <x:v>MetroMart</x:v>
      </x:c>
      <x:c r="D9" s="47" t="str">
        <x:v>PO Entry B</x:v>
      </x:c>
      <x:c r="E9" s="47" t="str">
        <x:v>Blocked</x:v>
      </x:c>
      <x:c r="F9" s="47" t="str">
        <x:v>Pricing clarification</x:v>
      </x:c>
      <x:c r="G9" s="46"/>
      <x:c r="H9" s="47" t="n">
        <x:v>5</x:v>
      </x:c>
      <x:c r="I9" s="47" t="str">
        <x:v>Late risk</x:v>
      </x:c>
      <x:c r="J9" s="57" t="n">
        <x:v>0</x:v>
      </x:c>
      <x:c r="K9" s="57" t="n">
        <x:v>1</x:v>
      </x:c>
      <x:c r="L9" s="57" t="n">
        <x:v>0</x:v>
      </x:c>
    </x:row>
    <x:row r="10">
      <x:c r="A10" s="46" t="n">
        <x:v>46151</x:v>
      </x:c>
      <x:c r="B10" s="47" t="str">
        <x:v>SIM-26008</x:v>
      </x:c>
      <x:c r="C10" s="47" t="str">
        <x:v>Horizon Retail</x:v>
      </x:c>
      <x:c r="D10" s="47" t="str">
        <x:v>Sales Ops C</x:v>
      </x:c>
      <x:c r="E10" s="47" t="str">
        <x:v>Entered</x:v>
      </x:c>
      <x:c r="F10" s="47" t="str">
        <x:v>None</x:v>
      </x:c>
      <x:c r="G10" s="46" t="n">
        <x:v>46153</x:v>
      </x:c>
      <x:c r="H10" s="47" t="n">
        <x:v>2</x:v>
      </x:c>
      <x:c r="I10" s="47" t="str">
        <x:v>Within target</x:v>
      </x:c>
      <x:c r="J10" s="57" t="n">
        <x:v>1</x:v>
      </x:c>
      <x:c r="K10" s="57" t="n">
        <x:v>0</x:v>
      </x:c>
      <x:c r="L10" s="57" t="n">
        <x:v>0</x:v>
      </x:c>
    </x:row>
    <x:row r="11">
      <x:c r="A11" s="46" t="n">
        <x:v>46152</x:v>
      </x:c>
      <x:c r="B11" s="47" t="str">
        <x:v>SIM-26009</x:v>
      </x:c>
      <x:c r="C11" s="47" t="str">
        <x:v>Summit Foods</x:v>
      </x:c>
      <x:c r="D11" s="47" t="str">
        <x:v>Ops Specialist A</x:v>
      </x:c>
      <x:c r="E11" s="47" t="str">
        <x:v>Entered</x:v>
      </x:c>
      <x:c r="F11" s="47" t="str">
        <x:v>None</x:v>
      </x:c>
      <x:c r="G11" s="46" t="n">
        <x:v>46152</x:v>
      </x:c>
      <x:c r="H11" s="47" t="n">
        <x:v>0</x:v>
      </x:c>
      <x:c r="I11" s="47" t="str">
        <x:v>Within target</x:v>
      </x:c>
      <x:c r="J11" s="57" t="n">
        <x:v>1</x:v>
      </x:c>
      <x:c r="K11" s="57" t="n">
        <x:v>0</x:v>
      </x:c>
      <x:c r="L11" s="57" t="n">
        <x:v>0</x:v>
      </x:c>
    </x:row>
    <x:row r="12">
      <x:c r="A12" s="46" t="n">
        <x:v>46153</x:v>
      </x:c>
      <x:c r="B12" s="47" t="str">
        <x:v>SIM-26010</x:v>
      </x:c>
      <x:c r="C12" s="47" t="str">
        <x:v>FreshPoint Market</x:v>
      </x:c>
      <x:c r="D12" s="47" t="str">
        <x:v>PO Entry B</x:v>
      </x:c>
      <x:c r="E12" s="47" t="str">
        <x:v>Entered</x:v>
      </x:c>
      <x:c r="F12" s="47" t="str">
        <x:v>None</x:v>
      </x:c>
      <x:c r="G12" s="46" t="n">
        <x:v>46154</x:v>
      </x:c>
      <x:c r="H12" s="47" t="n">
        <x:v>1</x:v>
      </x:c>
      <x:c r="I12" s="47" t="str">
        <x:v>Within target</x:v>
      </x:c>
      <x:c r="J12" s="57" t="n">
        <x:v>1</x:v>
      </x:c>
      <x:c r="K12" s="57" t="n">
        <x:v>0</x:v>
      </x:c>
      <x:c r="L12" s="57" t="n">
        <x:v>0</x:v>
      </x:c>
    </x:row>
    <x:row r="13">
      <x:c r="A13" s="46" t="n">
        <x:v>46154</x:v>
      </x:c>
      <x:c r="B13" s="47" t="str">
        <x:v>SIM-26011</x:v>
      </x:c>
      <x:c r="C13" s="47" t="str">
        <x:v>Lakeside Specialty</x:v>
      </x:c>
      <x:c r="D13" s="47" t="str">
        <x:v>Sales Ops C</x:v>
      </x:c>
      <x:c r="E13" s="47" t="str">
        <x:v>Entered</x:v>
      </x:c>
      <x:c r="F13" s="47" t="str">
        <x:v>None</x:v>
      </x:c>
      <x:c r="G13" s="46" t="n">
        <x:v>46156</x:v>
      </x:c>
      <x:c r="H13" s="47" t="n">
        <x:v>2</x:v>
      </x:c>
      <x:c r="I13" s="47" t="str">
        <x:v>Within target</x:v>
      </x:c>
      <x:c r="J13" s="57" t="n">
        <x:v>1</x:v>
      </x:c>
      <x:c r="K13" s="57" t="n">
        <x:v>0</x:v>
      </x:c>
      <x:c r="L13" s="57" t="n">
        <x:v>0</x:v>
      </x:c>
    </x:row>
    <x:row r="14">
      <x:c r="A14" s="46" t="n">
        <x:v>46155</x:v>
      </x:c>
      <x:c r="B14" s="47" t="str">
        <x:v>SIM-26012</x:v>
      </x:c>
      <x:c r="C14" s="47" t="str">
        <x:v>Northlake Grocers</x:v>
      </x:c>
      <x:c r="D14" s="47" t="str">
        <x:v>Ops Specialist A</x:v>
      </x:c>
      <x:c r="E14" s="47" t="str">
        <x:v>Entered</x:v>
      </x:c>
      <x:c r="F14" s="47" t="str">
        <x:v>None</x:v>
      </x:c>
      <x:c r="G14" s="46" t="n">
        <x:v>46155</x:v>
      </x:c>
      <x:c r="H14" s="47" t="n">
        <x:v>0</x:v>
      </x:c>
      <x:c r="I14" s="47" t="str">
        <x:v>Within target</x:v>
      </x:c>
      <x:c r="J14" s="57" t="n">
        <x:v>1</x:v>
      </x:c>
      <x:c r="K14" s="57" t="n">
        <x:v>0</x:v>
      </x:c>
      <x:c r="L14" s="57" t="n">
        <x:v>0</x:v>
      </x:c>
    </x:row>
    <x:row r="15">
      <x:c r="A15" s="46" t="n">
        <x:v>46156</x:v>
      </x:c>
      <x:c r="B15" s="47" t="str">
        <x:v>SIM-26013</x:v>
      </x:c>
      <x:c r="C15" s="47" t="str">
        <x:v>MetroMart</x:v>
      </x:c>
      <x:c r="D15" s="47" t="str">
        <x:v>PO Entry B</x:v>
      </x:c>
      <x:c r="E15" s="47" t="str">
        <x:v>Entered</x:v>
      </x:c>
      <x:c r="F15" s="47" t="str">
        <x:v>None</x:v>
      </x:c>
      <x:c r="G15" s="46" t="n">
        <x:v>46157</x:v>
      </x:c>
      <x:c r="H15" s="47" t="n">
        <x:v>1</x:v>
      </x:c>
      <x:c r="I15" s="47" t="str">
        <x:v>Within target</x:v>
      </x:c>
      <x:c r="J15" s="57" t="n">
        <x:v>1</x:v>
      </x:c>
      <x:c r="K15" s="57" t="n">
        <x:v>0</x:v>
      </x:c>
      <x:c r="L15" s="57" t="n">
        <x:v>0</x:v>
      </x:c>
    </x:row>
    <x:row r="16">
      <x:c r="A16" s="46" t="n">
        <x:v>46157</x:v>
      </x:c>
      <x:c r="B16" s="47" t="str">
        <x:v>SIM-26014</x:v>
      </x:c>
      <x:c r="C16" s="47" t="str">
        <x:v>Horizon Retail</x:v>
      </x:c>
      <x:c r="D16" s="47" t="str">
        <x:v>Sales Ops C</x:v>
      </x:c>
      <x:c r="E16" s="47" t="str">
        <x:v>Entered</x:v>
      </x:c>
      <x:c r="F16" s="47" t="str">
        <x:v>None</x:v>
      </x:c>
      <x:c r="G16" s="46" t="n">
        <x:v>46159</x:v>
      </x:c>
      <x:c r="H16" s="47" t="n">
        <x:v>2</x:v>
      </x:c>
      <x:c r="I16" s="47" t="str">
        <x:v>Within target</x:v>
      </x:c>
      <x:c r="J16" s="57" t="n">
        <x:v>1</x:v>
      </x:c>
      <x:c r="K16" s="57" t="n">
        <x:v>0</x:v>
      </x:c>
      <x:c r="L16" s="57" t="n">
        <x:v>0</x:v>
      </x:c>
    </x:row>
    <x:row r="17">
      <x:c r="A17" s="46" t="n">
        <x:v>46158</x:v>
      </x:c>
      <x:c r="B17" s="47" t="str">
        <x:v>SIM-26015</x:v>
      </x:c>
      <x:c r="C17" s="47" t="str">
        <x:v>Summit Foods</x:v>
      </x:c>
      <x:c r="D17" s="47" t="str">
        <x:v>Ops Specialist A</x:v>
      </x:c>
      <x:c r="E17" s="47" t="str">
        <x:v>Entered</x:v>
      </x:c>
      <x:c r="F17" s="47" t="str">
        <x:v>None</x:v>
      </x:c>
      <x:c r="G17" s="46" t="n">
        <x:v>46158</x:v>
      </x:c>
      <x:c r="H17" s="47" t="n">
        <x:v>0</x:v>
      </x:c>
      <x:c r="I17" s="47" t="str">
        <x:v>Within target</x:v>
      </x:c>
      <x:c r="J17" s="57" t="n">
        <x:v>1</x:v>
      </x:c>
      <x:c r="K17" s="57" t="n">
        <x:v>0</x:v>
      </x:c>
      <x:c r="L17" s="57" t="n">
        <x:v>0</x:v>
      </x:c>
    </x:row>
    <x:row r="18">
      <x:c r="A18" s="46" t="n">
        <x:v>46159</x:v>
      </x:c>
      <x:c r="B18" s="47" t="str">
        <x:v>SIM-26016</x:v>
      </x:c>
      <x:c r="C18" s="47" t="str">
        <x:v>FreshPoint Market</x:v>
      </x:c>
      <x:c r="D18" s="47" t="str">
        <x:v>PO Entry B</x:v>
      </x:c>
      <x:c r="E18" s="47" t="str">
        <x:v>Entered</x:v>
      </x:c>
      <x:c r="F18" s="47" t="str">
        <x:v>None</x:v>
      </x:c>
      <x:c r="G18" s="46" t="n">
        <x:v>46160</x:v>
      </x:c>
      <x:c r="H18" s="47" t="n">
        <x:v>1</x:v>
      </x:c>
      <x:c r="I18" s="47" t="str">
        <x:v>Within target</x:v>
      </x:c>
      <x:c r="J18" s="57" t="n">
        <x:v>1</x:v>
      </x:c>
      <x:c r="K18" s="57" t="n">
        <x:v>0</x:v>
      </x:c>
      <x:c r="L18" s="57" t="n">
        <x:v>0</x:v>
      </x:c>
    </x:row>
    <x:row r="19">
      <x:c r="A19" s="46" t="n">
        <x:v>46160</x:v>
      </x:c>
      <x:c r="B19" s="47" t="str">
        <x:v>SIM-26017</x:v>
      </x:c>
      <x:c r="C19" s="47" t="str">
        <x:v>Lakeside Specialty</x:v>
      </x:c>
      <x:c r="D19" s="47" t="str">
        <x:v>Sales Ops C</x:v>
      </x:c>
      <x:c r="E19" s="47" t="str">
        <x:v>Entered</x:v>
      </x:c>
      <x:c r="F19" s="47" t="str">
        <x:v>None</x:v>
      </x:c>
      <x:c r="G19" s="46" t="n">
        <x:v>46162</x:v>
      </x:c>
      <x:c r="H19" s="47" t="n">
        <x:v>2</x:v>
      </x:c>
      <x:c r="I19" s="47" t="str">
        <x:v>Within target</x:v>
      </x:c>
      <x:c r="J19" s="57" t="n">
        <x:v>1</x:v>
      </x:c>
      <x:c r="K19" s="57" t="n">
        <x:v>0</x:v>
      </x:c>
      <x:c r="L19" s="57" t="n">
        <x:v>0</x:v>
      </x:c>
    </x:row>
    <x:row r="20">
      <x:c r="A20" s="46" t="n">
        <x:v>46161</x:v>
      </x:c>
      <x:c r="B20" s="47" t="str">
        <x:v>SIM-26018</x:v>
      </x:c>
      <x:c r="C20" s="47" t="str">
        <x:v>Northlake Grocers</x:v>
      </x:c>
      <x:c r="D20" s="47" t="str">
        <x:v>Ops Specialist A</x:v>
      </x:c>
      <x:c r="E20" s="47" t="str">
        <x:v>In Review</x:v>
      </x:c>
      <x:c r="F20" s="47" t="str">
        <x:v>Missing item setup</x:v>
      </x:c>
      <x:c r="G20" s="46"/>
      <x:c r="H20" s="47" t="n">
        <x:v>5</x:v>
      </x:c>
      <x:c r="I20" s="47" t="str">
        <x:v>Late risk</x:v>
      </x:c>
      <x:c r="J20" s="57" t="n">
        <x:v>0</x:v>
      </x:c>
      <x:c r="K20" s="57" t="n">
        <x:v>1</x:v>
      </x:c>
      <x:c r="L20" s="57" t="n">
        <x:v>0</x:v>
      </x:c>
    </x:row>
    <x:row r="21">
      <x:c r="A21" s="46" t="n">
        <x:v>46162</x:v>
      </x:c>
      <x:c r="B21" s="47" t="str">
        <x:v>SIM-26019</x:v>
      </x:c>
      <x:c r="C21" s="47" t="str">
        <x:v>MetroMart</x:v>
      </x:c>
      <x:c r="D21" s="47" t="str">
        <x:v>PO Entry B</x:v>
      </x:c>
      <x:c r="E21" s="47" t="str">
        <x:v>Entered</x:v>
      </x:c>
      <x:c r="F21" s="47" t="str">
        <x:v>None</x:v>
      </x:c>
      <x:c r="G21" s="46" t="n">
        <x:v>46163</x:v>
      </x:c>
      <x:c r="H21" s="47" t="n">
        <x:v>1</x:v>
      </x:c>
      <x:c r="I21" s="47" t="str">
        <x:v>Within target</x:v>
      </x:c>
      <x:c r="J21" s="57" t="n">
        <x:v>1</x:v>
      </x:c>
      <x:c r="K21" s="57" t="n">
        <x:v>0</x:v>
      </x:c>
      <x:c r="L21" s="57" t="n">
        <x:v>0</x:v>
      </x:c>
    </x:row>
    <x:row r="22">
      <x:c r="A22" s="46" t="n">
        <x:v>46163</x:v>
      </x:c>
      <x:c r="B22" s="47" t="str">
        <x:v>SIM-26020</x:v>
      </x:c>
      <x:c r="C22" s="47" t="str">
        <x:v>Horizon Retail</x:v>
      </x:c>
      <x:c r="D22" s="47" t="str">
        <x:v>Sales Ops C</x:v>
      </x:c>
      <x:c r="E22" s="47" t="str">
        <x:v>Entered</x:v>
      </x:c>
      <x:c r="F22" s="47" t="str">
        <x:v>None</x:v>
      </x:c>
      <x:c r="G22" s="46" t="n">
        <x:v>46165</x:v>
      </x:c>
      <x:c r="H22" s="47" t="n">
        <x:v>2</x:v>
      </x:c>
      <x:c r="I22" s="47" t="str">
        <x:v>Within target</x:v>
      </x:c>
      <x:c r="J22" s="57" t="n">
        <x:v>1</x:v>
      </x:c>
      <x:c r="K22" s="57" t="n">
        <x:v>0</x:v>
      </x:c>
      <x:c r="L22" s="57" t="n">
        <x:v>0</x:v>
      </x:c>
    </x:row>
    <x:row r="23">
      <x:c r="A23" s="46" t="n">
        <x:v>46164</x:v>
      </x:c>
      <x:c r="B23" s="47" t="str">
        <x:v>SIM-26021</x:v>
      </x:c>
      <x:c r="C23" s="47" t="str">
        <x:v>Summit Foods</x:v>
      </x:c>
      <x:c r="D23" s="47" t="str">
        <x:v>Ops Specialist A</x:v>
      </x:c>
      <x:c r="E23" s="47" t="str">
        <x:v>Entered</x:v>
      </x:c>
      <x:c r="F23" s="47" t="str">
        <x:v>None</x:v>
      </x:c>
      <x:c r="G23" s="46" t="n">
        <x:v>46164</x:v>
      </x:c>
      <x:c r="H23" s="47" t="n">
        <x:v>0</x:v>
      </x:c>
      <x:c r="I23" s="47" t="str">
        <x:v>Within target</x:v>
      </x:c>
      <x:c r="J23" s="57" t="n">
        <x:v>1</x:v>
      </x:c>
      <x:c r="K23" s="57" t="n">
        <x:v>0</x:v>
      </x:c>
      <x:c r="L23" s="57" t="n">
        <x:v>0</x:v>
      </x:c>
    </x:row>
    <x:row r="24">
      <x:c r="A24" s="46" t="n">
        <x:v>46165</x:v>
      </x:c>
      <x:c r="B24" s="47" t="str">
        <x:v>SIM-26022</x:v>
      </x:c>
      <x:c r="C24" s="47" t="str">
        <x:v>FreshPoint Market</x:v>
      </x:c>
      <x:c r="D24" s="47" t="str">
        <x:v>PO Entry B</x:v>
      </x:c>
      <x:c r="E24" s="47" t="str">
        <x:v>Entered</x:v>
      </x:c>
      <x:c r="F24" s="47" t="str">
        <x:v>None</x:v>
      </x:c>
      <x:c r="G24" s="46" t="n">
        <x:v>46166</x:v>
      </x:c>
      <x:c r="H24" s="47" t="n">
        <x:v>1</x:v>
      </x:c>
      <x:c r="I24" s="47" t="str">
        <x:v>Within target</x:v>
      </x:c>
      <x:c r="J24" s="57" t="n">
        <x:v>1</x:v>
      </x:c>
      <x:c r="K24" s="57" t="n">
        <x:v>0</x:v>
      </x:c>
      <x:c r="L24" s="57" t="n">
        <x:v>0</x:v>
      </x:c>
    </x:row>
    <x:row r="25">
      <x:c r="A25" s="46" t="n">
        <x:v>46166</x:v>
      </x:c>
      <x:c r="B25" s="47" t="str">
        <x:v>SIM-26023</x:v>
      </x:c>
      <x:c r="C25" s="47" t="str">
        <x:v>Lakeside Specialty</x:v>
      </x:c>
      <x:c r="D25" s="47" t="str">
        <x:v>Sales Ops C</x:v>
      </x:c>
      <x:c r="E25" s="47" t="str">
        <x:v>Entered</x:v>
      </x:c>
      <x:c r="F25" s="47" t="str">
        <x:v>None</x:v>
      </x:c>
      <x:c r="G25" s="46" t="n">
        <x:v>46168</x:v>
      </x:c>
      <x:c r="H25" s="47" t="n">
        <x:v>2</x:v>
      </x:c>
      <x:c r="I25" s="47" t="str">
        <x:v>Within target</x:v>
      </x:c>
      <x:c r="J25" s="57" t="n">
        <x:v>1</x:v>
      </x:c>
      <x:c r="K25" s="57" t="n">
        <x:v>0</x:v>
      </x:c>
      <x:c r="L25" s="57" t="n">
        <x:v>0</x:v>
      </x:c>
    </x:row>
    <x:row r="26">
      <x:c r="A26" s="46" t="n">
        <x:v>46167</x:v>
      </x:c>
      <x:c r="B26" s="47" t="str">
        <x:v>SIM-26024</x:v>
      </x:c>
      <x:c r="C26" s="47" t="str">
        <x:v>Northlake Grocers</x:v>
      </x:c>
      <x:c r="D26" s="47" t="str">
        <x:v>Ops Specialist A</x:v>
      </x:c>
      <x:c r="E26" s="47" t="str">
        <x:v>Entered</x:v>
      </x:c>
      <x:c r="F26" s="47" t="str">
        <x:v>None</x:v>
      </x:c>
      <x:c r="G26" s="46" t="n">
        <x:v>46167</x:v>
      </x:c>
      <x:c r="H26" s="47" t="n">
        <x:v>0</x:v>
      </x:c>
      <x:c r="I26" s="47" t="str">
        <x:v>Within target</x:v>
      </x:c>
      <x:c r="J26" s="57" t="n">
        <x:v>1</x:v>
      </x:c>
      <x:c r="K26" s="57" t="n">
        <x:v>0</x:v>
      </x:c>
      <x:c r="L26" s="57" t="n">
        <x:v>0</x:v>
      </x:c>
    </x:row>
    <x:row r="27">
      <x:c r="A27" s="46" t="n">
        <x:v>46168</x:v>
      </x:c>
      <x:c r="B27" s="47" t="str">
        <x:v>SIM-26025</x:v>
      </x:c>
      <x:c r="C27" s="47" t="str">
        <x:v>MetroMart</x:v>
      </x:c>
      <x:c r="D27" s="47" t="str">
        <x:v>PO Entry B</x:v>
      </x:c>
      <x:c r="E27" s="47" t="str">
        <x:v>Entered</x:v>
      </x:c>
      <x:c r="F27" s="47" t="str">
        <x:v>None</x:v>
      </x:c>
      <x:c r="G27" s="46" t="n">
        <x:v>46169</x:v>
      </x:c>
      <x:c r="H27" s="47" t="n">
        <x:v>1</x:v>
      </x:c>
      <x:c r="I27" s="47" t="str">
        <x:v>Within target</x:v>
      </x:c>
      <x:c r="J27" s="57" t="n">
        <x:v>1</x:v>
      </x:c>
      <x:c r="K27" s="57" t="n">
        <x:v>0</x:v>
      </x:c>
      <x:c r="L27" s="57" t="n">
        <x:v>0</x:v>
      </x:c>
    </x:row>
    <x:row r="28">
      <x:c r="A28" s="46" t="n">
        <x:v>46169</x:v>
      </x:c>
      <x:c r="B28" s="47" t="str">
        <x:v>SIM-26026</x:v>
      </x:c>
      <x:c r="C28" s="47" t="str">
        <x:v>Horizon Retail</x:v>
      </x:c>
      <x:c r="D28" s="47" t="str">
        <x:v>Sales Ops C</x:v>
      </x:c>
      <x:c r="E28" s="47" t="str">
        <x:v>Blocked</x:v>
      </x:c>
      <x:c r="F28" s="47" t="str">
        <x:v>Duplicate suspected</x:v>
      </x:c>
      <x:c r="G28" s="46"/>
      <x:c r="H28" s="47" t="n">
        <x:v>4</x:v>
      </x:c>
      <x:c r="I28" s="47" t="str">
        <x:v>Late risk</x:v>
      </x:c>
      <x:c r="J28" s="57" t="n">
        <x:v>0</x:v>
      </x:c>
      <x:c r="K28" s="57" t="n">
        <x:v>1</x:v>
      </x:c>
      <x:c r="L28" s="57" t="n">
        <x:v>1</x:v>
      </x:c>
    </x:row>
    <x:row r="29">
      <x:c r="A29" s="46" t="n">
        <x:v>46170</x:v>
      </x:c>
      <x:c r="B29" s="47" t="str">
        <x:v>SIM-26027</x:v>
      </x:c>
      <x:c r="C29" s="47" t="str">
        <x:v>Summit Foods</x:v>
      </x:c>
      <x:c r="D29" s="47" t="str">
        <x:v>Ops Specialist A</x:v>
      </x:c>
      <x:c r="E29" s="47" t="str">
        <x:v>Entered</x:v>
      </x:c>
      <x:c r="F29" s="47" t="str">
        <x:v>None</x:v>
      </x:c>
      <x:c r="G29" s="46" t="n">
        <x:v>46170</x:v>
      </x:c>
      <x:c r="H29" s="47" t="n">
        <x:v>0</x:v>
      </x:c>
      <x:c r="I29" s="47" t="str">
        <x:v>Within target</x:v>
      </x:c>
      <x:c r="J29" s="57" t="n">
        <x:v>1</x:v>
      </x:c>
      <x:c r="K29" s="57" t="n">
        <x:v>0</x:v>
      </x:c>
      <x:c r="L29" s="57" t="n">
        <x:v>0</x:v>
      </x:c>
    </x:row>
    <x:row r="30">
      <x:c r="A30" s="46" t="n">
        <x:v>46171</x:v>
      </x:c>
      <x:c r="B30" s="47" t="str">
        <x:v>SIM-26028</x:v>
      </x:c>
      <x:c r="C30" s="47" t="str">
        <x:v>FreshPoint Market</x:v>
      </x:c>
      <x:c r="D30" s="47" t="str">
        <x:v>PO Entry B</x:v>
      </x:c>
      <x:c r="E30" s="47" t="str">
        <x:v>Entered</x:v>
      </x:c>
      <x:c r="F30" s="47" t="str">
        <x:v>None</x:v>
      </x:c>
      <x:c r="G30" s="46" t="n">
        <x:v>46172</x:v>
      </x:c>
      <x:c r="H30" s="47" t="n">
        <x:v>1</x:v>
      </x:c>
      <x:c r="I30" s="47" t="str">
        <x:v>Within target</x:v>
      </x:c>
      <x:c r="J30" s="57" t="n">
        <x:v>1</x:v>
      </x:c>
      <x:c r="K30" s="57" t="n">
        <x:v>0</x:v>
      </x:c>
      <x:c r="L30" s="57" t="n">
        <x:v>0</x:v>
      </x:c>
    </x:row>
    <x:row r="31">
      <x:c r="A31" s="46" t="n">
        <x:v>46172</x:v>
      </x:c>
      <x:c r="B31" s="47" t="str">
        <x:v>SIM-26029</x:v>
      </x:c>
      <x:c r="C31" s="47" t="str">
        <x:v>Lakeside Specialty</x:v>
      </x:c>
      <x:c r="D31" s="47" t="str">
        <x:v>Sales Ops C</x:v>
      </x:c>
      <x:c r="E31" s="47" t="str">
        <x:v>Entered</x:v>
      </x:c>
      <x:c r="F31" s="47" t="str">
        <x:v>None</x:v>
      </x:c>
      <x:c r="G31" s="46" t="n">
        <x:v>46174</x:v>
      </x:c>
      <x:c r="H31" s="47" t="n">
        <x:v>2</x:v>
      </x:c>
      <x:c r="I31" s="47" t="str">
        <x:v>Within target</x:v>
      </x:c>
      <x:c r="J31" s="57" t="n">
        <x:v>1</x:v>
      </x:c>
      <x:c r="K31" s="57" t="n">
        <x:v>0</x:v>
      </x:c>
      <x:c r="L31" s="57" t="n">
        <x:v>0</x:v>
      </x:c>
    </x:row>
  </x:sheetData>
  <x:conditionalFormatting sqref="H2:H31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J2:J31">
    <x:cfRule type="dataBar" priority="2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{7ED8B17C-0D7B-0348-A539-B0BFED9CA1E5}</x14:id>
        </x:ext>
      </x:extLst>
    </x:cfRule>
  </x:conditionalFormatting>
  <x:conditionalFormatting sqref="K2:K31">
    <x:cfRule type="dataBar" priority="3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{B92F7AC1-ACE2-5188-0DCF-B90D6044B763}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cfd6f689e75430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ED8B17C-0D7B-0348-A539-B0BFED9CA1E5}">
            <x14:dataBar gradient="1">
              <x14:cfvo type="min"/>
              <x14:cfvo type="max"/>
              <x14:fillColor rgb="FF16A34A"/>
            </x14:dataBar>
          </x14:cfRule>
          <xm:sqref>J2:J31</xm:sqref>
        </x14:conditionalFormatting>
        <x14:conditionalFormatting>
          <x14:cfRule type="dataBar" priority="3" id="{B92F7AC1-ACE2-5188-0DCF-B90D6044B763}">
            <x14:dataBar gradient="1">
              <x14:cfvo type="min"/>
              <x14:cfvo type="max"/>
              <x14:fillColor rgb="FFF59E0B"/>
            </x14:dataBar>
          </x14:cfRule>
          <xm:sqref>K2:K31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9.1299991607666" hidden="0" customWidth="1"/>
    <x:col min="2" max="2" width="75" hidden="0" customWidth="1"/>
  </x:cols>
  <x:sheetData>
    <x:row r="1">
      <x:c r="A1" s="45" t="str">
        <x:v>Field</x:v>
      </x:c>
      <x:c r="B1" s="45" t="str">
        <x:v>Description</x:v>
      </x:c>
    </x:row>
    <x:row r="2">
      <x:c r="A2" s="47" t="str">
        <x:v>Synthetic data disclaimer</x:v>
      </x:c>
      <x:c r="B2" s="47" t="str">
        <x:v>All account names, PO numbers, dates, and metric values are fictional and created for public portfolio demonstration.</x:v>
      </x:c>
    </x:row>
    <x:row r="3">
      <x:c r="A3" s="47" t="str">
        <x:v>DSD Execution Score</x:v>
      </x:c>
      <x:c r="B3" s="47" t="str">
        <x:v>Weighted synthetic score combining in-stock and promotional compliance indicators.</x:v>
      </x:c>
    </x:row>
    <x:row r="4">
      <x:c r="A4" s="47" t="str">
        <x:v>On-Time Flag</x:v>
      </x:c>
      <x:c r="B4" s="47" t="str">
        <x:v>1 when a simulated PO is entered within a target service window; otherwise 0.</x:v>
      </x:c>
    </x:row>
    <x:row r="5">
      <x:c r="A5" s="47" t="str">
        <x:v>Exception Flag</x:v>
      </x:c>
      <x:c r="B5" s="47" t="str">
        <x:v>1 when a simulated PO has a delay reason; otherwise 0.</x:v>
      </x:c>
    </x:row>
    <x:row r="6">
      <x:c r="A6" s="47" t="str">
        <x:v>Duplicate Flag</x:v>
      </x:c>
      <x:c r="B6" s="47" t="str">
        <x:v>1 when a simulated intake item is suspected duplicate; otherwise 0.</x:v>
      </x:c>
    </x:row>
    <x:row r="7">
      <x:c r="A7" s="47" t="str">
        <x:v>Use Case</x:v>
      </x:c>
      <x:c r="B7" s="47" t="str">
        <x:v>Demonstrates how an operations leader can structure dashboard logic without exposing real employer data.</x:v>
      </x:c>
    </x:row>
  </x:sheetData>
  <x:pageMargins left="0.7" right="0.7" top="0.75" bottom="0.75" header="0.3" footer="0.3"/>
</x:worksheet>
</file>